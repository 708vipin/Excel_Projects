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vipi\Desktop\VIP_GitHub\Excel_Projects\"/>
    </mc:Choice>
  </mc:AlternateContent>
  <xr:revisionPtr revIDLastSave="0" documentId="13_ncr:1_{D341DCC4-EBD2-4DDD-A082-1E06E67D10DD}" xr6:coauthVersionLast="47" xr6:coauthVersionMax="47" xr10:uidLastSave="{00000000-0000-0000-0000-000000000000}"/>
  <bookViews>
    <workbookView xWindow="-108" yWindow="-108" windowWidth="23256" windowHeight="12456" xr2:uid="{2AA1157E-DE72-4DD9-ADF2-8F7729CC6705}"/>
  </bookViews>
  <sheets>
    <sheet name="Sheet1" sheetId="1" r:id="rId1"/>
    <sheet name="problem_statemen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F16" i="1"/>
  <c r="F17" i="1"/>
  <c r="F18" i="1"/>
  <c r="F19" i="1"/>
  <c r="F20" i="1"/>
  <c r="F21" i="1"/>
  <c r="F22" i="1"/>
  <c r="F23" i="1"/>
  <c r="F14" i="1"/>
  <c r="E15" i="1"/>
  <c r="E16" i="1"/>
  <c r="E17" i="1"/>
  <c r="E18" i="1"/>
  <c r="E19" i="1"/>
  <c r="E20" i="1"/>
  <c r="E21" i="1"/>
  <c r="E22" i="1"/>
  <c r="E23" i="1"/>
  <c r="E14" i="1"/>
  <c r="D15" i="1"/>
  <c r="D16" i="1" s="1"/>
  <c r="D17" i="1" s="1"/>
  <c r="D18" i="1" s="1"/>
  <c r="D19" i="1" s="1"/>
  <c r="D20" i="1" s="1"/>
  <c r="D21" i="1" s="1"/>
  <c r="D22" i="1" s="1"/>
  <c r="D23" i="1" s="1"/>
  <c r="D14" i="1"/>
  <c r="C15" i="1"/>
  <c r="C16" i="1" s="1"/>
  <c r="C17" i="1" s="1"/>
  <c r="C18" i="1" s="1"/>
  <c r="C19" i="1" s="1"/>
  <c r="C20" i="1" s="1"/>
  <c r="C21" i="1" s="1"/>
  <c r="C22" i="1" s="1"/>
  <c r="C23" i="1" s="1"/>
  <c r="C14" i="1"/>
  <c r="B15" i="1"/>
  <c r="B16" i="1" s="1"/>
  <c r="B17" i="1" s="1"/>
  <c r="B18" i="1" s="1"/>
  <c r="B19" i="1" s="1"/>
  <c r="B20" i="1" s="1"/>
  <c r="B21" i="1" s="1"/>
  <c r="B22" i="1" s="1"/>
  <c r="B23" i="1" s="1"/>
  <c r="B14" i="1"/>
  <c r="F13" i="1"/>
  <c r="E13" i="1"/>
  <c r="D13" i="1"/>
  <c r="C13" i="1"/>
  <c r="B13" i="1"/>
</calcChain>
</file>

<file path=xl/sharedStrings.xml><?xml version="1.0" encoding="utf-8"?>
<sst xmlns="http://schemas.openxmlformats.org/spreadsheetml/2006/main" count="22" uniqueCount="15">
  <si>
    <t>Resource</t>
  </si>
  <si>
    <t>Cherry</t>
  </si>
  <si>
    <t>Oak</t>
  </si>
  <si>
    <t>Labour</t>
  </si>
  <si>
    <t>Required per Bookshelf</t>
  </si>
  <si>
    <t>Current Unit Cost</t>
  </si>
  <si>
    <t>Anticipated Annual Cost increase</t>
  </si>
  <si>
    <t>To model the costs of making furnitures over the years (say next 10 years)</t>
  </si>
  <si>
    <t>Year</t>
  </si>
  <si>
    <t>Woodworks Bookshelf Company Cost Projections</t>
  </si>
  <si>
    <t>Cherry_Cost</t>
  </si>
  <si>
    <t>Oak_Cost</t>
  </si>
  <si>
    <t>Labor_Cost</t>
  </si>
  <si>
    <t>Total_Cherry_Cost</t>
  </si>
  <si>
    <t>Total_Oak_Cost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</si>
</sst>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 x14ac:knownFonts="1">
    <font>
      <sz val="11"/>
      <color theme="1"/>
      <name val="Aptos Narrow"/>
      <family val="2"/>
      <scheme val="minor"/>
    </font>
    <font>
      <b/>
      <sz val="11"/>
      <color theme="1"/>
      <name val="Aptos Narrow"/>
      <family val="2"/>
      <scheme val="minor"/>
    </font>
    <font>
      <b/>
      <sz val="11"/>
      <color theme="1"/>
      <name val="Arial Black"/>
      <family val="2"/>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164" fontId="0" fillId="0" borderId="0" xfId="0" applyNumberFormat="1"/>
    <xf numFmtId="10" fontId="0" fillId="0" borderId="0" xfId="0" applyNumberFormat="1"/>
    <xf numFmtId="0" fontId="0" fillId="0" borderId="0" xfId="0" applyAlignment="1">
      <alignment horizontal="center"/>
    </xf>
    <xf numFmtId="0" fontId="1" fillId="0" borderId="0" xfId="0" applyFont="1" applyAlignment="1">
      <alignment horizontal="center"/>
    </xf>
    <xf numFmtId="0" fontId="2" fillId="0" borderId="0" xfId="0" applyFont="1" applyBorder="1" applyAlignment="1">
      <alignment horizontal="center"/>
    </xf>
    <xf numFmtId="0" fontId="0" fillId="0" borderId="0" xfId="0" applyAlignment="1">
      <alignment horizontal="center" vertical="center"/>
    </xf>
    <xf numFmtId="0" fontId="0" fillId="0" borderId="0" xfId="0" applyNumberFormat="1" applyAlignment="1">
      <alignment horizontal="center"/>
    </xf>
    <xf numFmtId="0" fontId="0"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Font="1" applyBorder="1" applyAlignment="1">
      <alignment horizontal="center"/>
    </xf>
    <xf numFmtId="0" fontId="1" fillId="2" borderId="1" xfId="0" applyFont="1" applyFill="1" applyBorder="1" applyAlignment="1">
      <alignment horizontal="center" vertical="center"/>
    </xf>
    <xf numFmtId="0" fontId="1" fillId="2" borderId="1" xfId="0" applyNumberFormat="1"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Woodworks</a:t>
            </a:r>
            <a:r>
              <a:rPr lang="en-IN" baseline="0"/>
              <a:t> Bookshelf Company Cost Projections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0"/>
          <c:tx>
            <c:strRef>
              <c:f>Sheet1!$E$12</c:f>
              <c:strCache>
                <c:ptCount val="1"/>
                <c:pt idx="0">
                  <c:v>Total_Cherry_Cost</c:v>
                </c:pt>
              </c:strCache>
            </c:strRef>
          </c:tx>
          <c:spPr>
            <a:ln w="28575" cap="rnd">
              <a:solidFill>
                <a:schemeClr val="accent4"/>
              </a:solidFill>
              <a:round/>
            </a:ln>
            <a:effectLst/>
          </c:spPr>
          <c:marker>
            <c:symbol val="none"/>
          </c:marker>
          <c:cat>
            <c:numRef>
              <c:f>Sheet1!$A$13:$A$23</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Sheet1!$E$13:$E$23</c:f>
              <c:numCache>
                <c:formatCode>General</c:formatCode>
                <c:ptCount val="11"/>
                <c:pt idx="0">
                  <c:v>461</c:v>
                </c:pt>
                <c:pt idx="1">
                  <c:v>469.4</c:v>
                </c:pt>
                <c:pt idx="2">
                  <c:v>477.96163999999999</c:v>
                </c:pt>
                <c:pt idx="3">
                  <c:v>486.68819995999996</c:v>
                </c:pt>
                <c:pt idx="4">
                  <c:v>495.58302956803993</c:v>
                </c:pt>
                <c:pt idx="5">
                  <c:v>504.64954977880791</c:v>
                </c:pt>
                <c:pt idx="6">
                  <c:v>513.89125438715132</c:v>
                </c:pt>
                <c:pt idx="7">
                  <c:v>523.31171163729971</c:v>
                </c:pt>
                <c:pt idx="8">
                  <c:v>532.91456586862455</c:v>
                </c:pt>
                <c:pt idx="9">
                  <c:v>542.70353919878164</c:v>
                </c:pt>
                <c:pt idx="10">
                  <c:v>552.68243324510206</c:v>
                </c:pt>
              </c:numCache>
            </c:numRef>
          </c:val>
          <c:smooth val="0"/>
          <c:extLst>
            <c:ext xmlns:c16="http://schemas.microsoft.com/office/drawing/2014/chart" uri="{C3380CC4-5D6E-409C-BE32-E72D297353CC}">
              <c16:uniqueId val="{00000003-367C-4ACC-A9EF-E81A83D5E26F}"/>
            </c:ext>
          </c:extLst>
        </c:ser>
        <c:ser>
          <c:idx val="4"/>
          <c:order val="1"/>
          <c:tx>
            <c:strRef>
              <c:f>Sheet1!$F$12</c:f>
              <c:strCache>
                <c:ptCount val="1"/>
                <c:pt idx="0">
                  <c:v>Total_Oak_Cost</c:v>
                </c:pt>
              </c:strCache>
            </c:strRef>
          </c:tx>
          <c:spPr>
            <a:ln w="28575" cap="rnd">
              <a:solidFill>
                <a:schemeClr val="accent5"/>
              </a:solidFill>
              <a:round/>
            </a:ln>
            <a:effectLst/>
          </c:spPr>
          <c:marker>
            <c:symbol val="none"/>
          </c:marker>
          <c:cat>
            <c:numRef>
              <c:f>Sheet1!$A$13:$A$23</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Sheet1!$F$13:$F$23</c:f>
              <c:numCache>
                <c:formatCode>General</c:formatCode>
                <c:ptCount val="11"/>
                <c:pt idx="0">
                  <c:v>425</c:v>
                </c:pt>
                <c:pt idx="1">
                  <c:v>431.63299999999998</c:v>
                </c:pt>
                <c:pt idx="2">
                  <c:v>438.36988099999996</c:v>
                </c:pt>
                <c:pt idx="3">
                  <c:v>445.21227577699995</c:v>
                </c:pt>
                <c:pt idx="4">
                  <c:v>452.16184286720886</c:v>
                </c:pt>
                <c:pt idx="5">
                  <c:v>459.22026697398138</c:v>
                </c:pt>
                <c:pt idx="6">
                  <c:v>466.38925938223952</c:v>
                </c:pt>
                <c:pt idx="7">
                  <c:v>473.67055837948351</c:v>
                </c:pt>
                <c:pt idx="8">
                  <c:v>481.06592968349679</c:v>
                </c:pt>
                <c:pt idx="9">
                  <c:v>488.57716687685172</c:v>
                </c:pt>
                <c:pt idx="10">
                  <c:v>496.20609184832477</c:v>
                </c:pt>
              </c:numCache>
            </c:numRef>
          </c:val>
          <c:smooth val="0"/>
          <c:extLst>
            <c:ext xmlns:c16="http://schemas.microsoft.com/office/drawing/2014/chart" uri="{C3380CC4-5D6E-409C-BE32-E72D297353CC}">
              <c16:uniqueId val="{00000004-367C-4ACC-A9EF-E81A83D5E26F}"/>
            </c:ext>
          </c:extLst>
        </c:ser>
        <c:dLbls>
          <c:showLegendKey val="0"/>
          <c:showVal val="0"/>
          <c:showCatName val="0"/>
          <c:showSerName val="0"/>
          <c:showPercent val="0"/>
          <c:showBubbleSize val="0"/>
        </c:dLbls>
        <c:smooth val="0"/>
        <c:axId val="172467967"/>
        <c:axId val="172468447"/>
      </c:lineChart>
      <c:catAx>
        <c:axId val="17246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68447"/>
        <c:crosses val="autoZero"/>
        <c:auto val="1"/>
        <c:lblAlgn val="ctr"/>
        <c:lblOffset val="100"/>
        <c:noMultiLvlLbl val="0"/>
      </c:catAx>
      <c:valAx>
        <c:axId val="17246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67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944880</xdr:colOff>
      <xdr:row>4</xdr:row>
      <xdr:rowOff>133350</xdr:rowOff>
    </xdr:from>
    <xdr:to>
      <xdr:col>12</xdr:col>
      <xdr:colOff>312420</xdr:colOff>
      <xdr:row>19</xdr:row>
      <xdr:rowOff>133350</xdr:rowOff>
    </xdr:to>
    <xdr:graphicFrame macro="">
      <xdr:nvGraphicFramePr>
        <xdr:cNvPr id="2" name="Chart 1">
          <a:extLst>
            <a:ext uri="{FF2B5EF4-FFF2-40B4-BE49-F238E27FC236}">
              <a16:creationId xmlns:a16="http://schemas.microsoft.com/office/drawing/2014/main" id="{E4E5C4E6-56B4-A9A9-0B9C-0C492DC17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15240</xdr:rowOff>
    </xdr:from>
    <xdr:to>
      <xdr:col>18</xdr:col>
      <xdr:colOff>502920</xdr:colOff>
      <xdr:row>7</xdr:row>
      <xdr:rowOff>76200</xdr:rowOff>
    </xdr:to>
    <xdr:sp macro="" textlink="">
      <xdr:nvSpPr>
        <xdr:cNvPr id="2" name="TextBox 1">
          <a:extLst>
            <a:ext uri="{FF2B5EF4-FFF2-40B4-BE49-F238E27FC236}">
              <a16:creationId xmlns:a16="http://schemas.microsoft.com/office/drawing/2014/main" id="{4303F903-F848-3EFA-B6D3-36918E1C4C1C}"/>
            </a:ext>
          </a:extLst>
        </xdr:cNvPr>
        <xdr:cNvSpPr txBox="1"/>
      </xdr:nvSpPr>
      <xdr:spPr>
        <a:xfrm>
          <a:off x="609600" y="198120"/>
          <a:ext cx="12161520" cy="115824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Scenario</a:t>
          </a:r>
        </a:p>
        <a:p>
          <a:r>
            <a:rPr lang="en-IN" sz="1100" b="0" i="0">
              <a:solidFill>
                <a:schemeClr val="dk1"/>
              </a:solidFill>
              <a:effectLst/>
              <a:latin typeface="+mn-lt"/>
              <a:ea typeface="+mn-ea"/>
              <a:cs typeface="+mn-cs"/>
            </a:rPr>
            <a:t>The Woodworks Company produces a variety of custom-designed wood furniture, made from either cherry or oak. The company knows that wood prices and labor costs are likely to increase in the future. The table below shows the number of board-feet and labor hours required for a bookshelf, the current costs per board-foot and labor hour, and the anticipated annual increases in these costs.</a:t>
          </a:r>
        </a:p>
        <a:p>
          <a:r>
            <a:rPr lang="en-IN" sz="1100" b="0" i="0">
              <a:solidFill>
                <a:schemeClr val="dk1"/>
              </a:solidFill>
              <a:effectLst/>
              <a:latin typeface="+mn-lt"/>
              <a:ea typeface="+mn-ea"/>
              <a:cs typeface="+mn-cs"/>
            </a:rPr>
            <a:t>Build a spreadsheet model that enables the company to experiment with the growth rates in wood and labor costs so that a manager can see, both numerically and graphically, how the costs of bookshelves vary in the next few years.</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ABE0-B5E1-4056-86A5-2F1B3A80C855}">
  <dimension ref="A1:I23"/>
  <sheetViews>
    <sheetView tabSelected="1" workbookViewId="0">
      <selection activeCell="O1" sqref="O1"/>
    </sheetView>
  </sheetViews>
  <sheetFormatPr defaultRowHeight="14.4" x14ac:dyDescent="0.3"/>
  <cols>
    <col min="1" max="1" width="27.77734375" bestFit="1" customWidth="1"/>
    <col min="2" max="2" width="10.77734375" bestFit="1" customWidth="1"/>
    <col min="3" max="3" width="8.6640625" bestFit="1" customWidth="1"/>
    <col min="4" max="4" width="10" bestFit="1" customWidth="1"/>
    <col min="5" max="5" width="15.5546875" bestFit="1" customWidth="1"/>
    <col min="6" max="6" width="13.44140625" bestFit="1" customWidth="1"/>
    <col min="7" max="7" width="19.88671875" customWidth="1"/>
    <col min="8" max="8" width="7.5546875" bestFit="1" customWidth="1"/>
    <col min="9" max="9" width="27.77734375" bestFit="1" customWidth="1"/>
    <col min="10" max="11" width="6.5546875" bestFit="1" customWidth="1"/>
    <col min="12" max="12" width="7.5546875" bestFit="1" customWidth="1"/>
  </cols>
  <sheetData>
    <row r="1" spans="1:9" ht="17.399999999999999" x14ac:dyDescent="0.45">
      <c r="A1" s="1" t="s">
        <v>0</v>
      </c>
      <c r="B1" s="1" t="s">
        <v>1</v>
      </c>
      <c r="C1" s="1" t="s">
        <v>2</v>
      </c>
      <c r="D1" s="1" t="s">
        <v>3</v>
      </c>
      <c r="F1" s="6" t="s">
        <v>9</v>
      </c>
      <c r="G1" s="6"/>
      <c r="H1" s="6"/>
      <c r="I1" s="6"/>
    </row>
    <row r="2" spans="1:9" x14ac:dyDescent="0.3">
      <c r="A2" t="s">
        <v>4</v>
      </c>
      <c r="B2" s="4">
        <v>30</v>
      </c>
      <c r="C2" s="4">
        <v>30</v>
      </c>
      <c r="D2" s="4">
        <v>16</v>
      </c>
    </row>
    <row r="3" spans="1:9" x14ac:dyDescent="0.3">
      <c r="A3" t="s">
        <v>5</v>
      </c>
      <c r="B3" s="8">
        <v>5.5</v>
      </c>
      <c r="C3" s="8">
        <v>4.3</v>
      </c>
      <c r="D3" s="8">
        <v>18.5</v>
      </c>
    </row>
    <row r="4" spans="1:9" x14ac:dyDescent="0.3">
      <c r="A4" t="s">
        <v>6</v>
      </c>
      <c r="B4" s="3">
        <v>2.4E-2</v>
      </c>
      <c r="C4" s="3">
        <v>1.7000000000000001E-2</v>
      </c>
      <c r="D4" s="3">
        <v>1.4999999999999999E-2</v>
      </c>
    </row>
    <row r="7" spans="1:9" x14ac:dyDescent="0.3">
      <c r="A7" t="s">
        <v>7</v>
      </c>
    </row>
    <row r="10" spans="1:9" x14ac:dyDescent="0.3">
      <c r="A10" s="5"/>
      <c r="B10" s="5"/>
      <c r="C10" s="5"/>
      <c r="D10" s="5"/>
      <c r="E10" s="5"/>
      <c r="F10" s="5"/>
    </row>
    <row r="11" spans="1:9" x14ac:dyDescent="0.3">
      <c r="A11" s="7"/>
      <c r="B11" s="4"/>
      <c r="C11" s="4"/>
      <c r="D11" s="4"/>
    </row>
    <row r="12" spans="1:9" x14ac:dyDescent="0.3">
      <c r="A12" s="13" t="s">
        <v>8</v>
      </c>
      <c r="B12" s="14" t="s">
        <v>10</v>
      </c>
      <c r="C12" s="15" t="s">
        <v>11</v>
      </c>
      <c r="D12" s="15" t="s">
        <v>12</v>
      </c>
      <c r="E12" s="15" t="s">
        <v>13</v>
      </c>
      <c r="F12" s="15" t="s">
        <v>14</v>
      </c>
    </row>
    <row r="13" spans="1:9" x14ac:dyDescent="0.3">
      <c r="A13" s="9">
        <v>2025</v>
      </c>
      <c r="B13" s="10">
        <f>B2*B3</f>
        <v>165</v>
      </c>
      <c r="C13" s="10">
        <f>C2*C3</f>
        <v>129</v>
      </c>
      <c r="D13" s="10">
        <f>D2*D3</f>
        <v>296</v>
      </c>
      <c r="E13" s="11">
        <f>B13+D13</f>
        <v>461</v>
      </c>
      <c r="F13" s="11">
        <f>C13+D13</f>
        <v>425</v>
      </c>
    </row>
    <row r="14" spans="1:9" x14ac:dyDescent="0.3">
      <c r="A14" s="12">
        <v>2026</v>
      </c>
      <c r="B14" s="11">
        <f>B13*(1.024)</f>
        <v>168.96</v>
      </c>
      <c r="C14" s="11">
        <f>C13*1.017</f>
        <v>131.19299999999998</v>
      </c>
      <c r="D14" s="11">
        <f>D13*1.015</f>
        <v>300.44</v>
      </c>
      <c r="E14" s="11">
        <f>B14+D14</f>
        <v>469.4</v>
      </c>
      <c r="F14" s="11">
        <f>C14+D14</f>
        <v>431.63299999999998</v>
      </c>
    </row>
    <row r="15" spans="1:9" x14ac:dyDescent="0.3">
      <c r="A15" s="9">
        <v>2027</v>
      </c>
      <c r="B15" s="11">
        <f t="shared" ref="B15:B23" si="0">B14*(1.024)</f>
        <v>173.01504</v>
      </c>
      <c r="C15" s="11">
        <f t="shared" ref="C15:C23" si="1">C14*1.017</f>
        <v>133.42328099999997</v>
      </c>
      <c r="D15" s="11">
        <f t="shared" ref="D15:D23" si="2">D14*1.015</f>
        <v>304.94659999999999</v>
      </c>
      <c r="E15" s="11">
        <f t="shared" ref="E15:E23" si="3">B15+D15</f>
        <v>477.96163999999999</v>
      </c>
      <c r="F15" s="11">
        <f t="shared" ref="F15:F23" si="4">C15+D15</f>
        <v>438.36988099999996</v>
      </c>
    </row>
    <row r="16" spans="1:9" x14ac:dyDescent="0.3">
      <c r="A16" s="12">
        <v>2028</v>
      </c>
      <c r="B16" s="11">
        <f t="shared" si="0"/>
        <v>177.16740096000001</v>
      </c>
      <c r="C16" s="11">
        <f t="shared" si="1"/>
        <v>135.69147677699996</v>
      </c>
      <c r="D16" s="11">
        <f t="shared" si="2"/>
        <v>309.52079899999995</v>
      </c>
      <c r="E16" s="11">
        <f t="shared" si="3"/>
        <v>486.68819995999996</v>
      </c>
      <c r="F16" s="11">
        <f t="shared" si="4"/>
        <v>445.21227577699995</v>
      </c>
    </row>
    <row r="17" spans="1:6" x14ac:dyDescent="0.3">
      <c r="A17" s="9">
        <v>2029</v>
      </c>
      <c r="B17" s="11">
        <f t="shared" si="0"/>
        <v>181.41941858304003</v>
      </c>
      <c r="C17" s="11">
        <f t="shared" si="1"/>
        <v>137.99823188220896</v>
      </c>
      <c r="D17" s="11">
        <f t="shared" si="2"/>
        <v>314.16361098499993</v>
      </c>
      <c r="E17" s="11">
        <f t="shared" si="3"/>
        <v>495.58302956803993</v>
      </c>
      <c r="F17" s="11">
        <f t="shared" si="4"/>
        <v>452.16184286720886</v>
      </c>
    </row>
    <row r="18" spans="1:6" x14ac:dyDescent="0.3">
      <c r="A18" s="12">
        <v>2030</v>
      </c>
      <c r="B18" s="11">
        <f t="shared" si="0"/>
        <v>185.77348462903299</v>
      </c>
      <c r="C18" s="11">
        <f t="shared" si="1"/>
        <v>140.34420182420649</v>
      </c>
      <c r="D18" s="11">
        <f t="shared" si="2"/>
        <v>318.87606514977489</v>
      </c>
      <c r="E18" s="11">
        <f t="shared" si="3"/>
        <v>504.64954977880791</v>
      </c>
      <c r="F18" s="11">
        <f t="shared" si="4"/>
        <v>459.22026697398138</v>
      </c>
    </row>
    <row r="19" spans="1:6" x14ac:dyDescent="0.3">
      <c r="A19" s="9">
        <v>2031</v>
      </c>
      <c r="B19" s="11">
        <f t="shared" si="0"/>
        <v>190.2320482601298</v>
      </c>
      <c r="C19" s="11">
        <f t="shared" si="1"/>
        <v>142.730053255218</v>
      </c>
      <c r="D19" s="11">
        <f t="shared" si="2"/>
        <v>323.65920612702149</v>
      </c>
      <c r="E19" s="11">
        <f t="shared" si="3"/>
        <v>513.89125438715132</v>
      </c>
      <c r="F19" s="11">
        <f t="shared" si="4"/>
        <v>466.38925938223952</v>
      </c>
    </row>
    <row r="20" spans="1:6" x14ac:dyDescent="0.3">
      <c r="A20" s="12">
        <v>2032</v>
      </c>
      <c r="B20" s="11">
        <f t="shared" si="0"/>
        <v>194.79761741837291</v>
      </c>
      <c r="C20" s="11">
        <f t="shared" si="1"/>
        <v>145.15646416055668</v>
      </c>
      <c r="D20" s="11">
        <f t="shared" si="2"/>
        <v>328.5140942189268</v>
      </c>
      <c r="E20" s="11">
        <f t="shared" si="3"/>
        <v>523.31171163729971</v>
      </c>
      <c r="F20" s="11">
        <f t="shared" si="4"/>
        <v>473.67055837948351</v>
      </c>
    </row>
    <row r="21" spans="1:6" x14ac:dyDescent="0.3">
      <c r="A21" s="9">
        <v>2033</v>
      </c>
      <c r="B21" s="11">
        <f t="shared" si="0"/>
        <v>199.47276023641388</v>
      </c>
      <c r="C21" s="11">
        <f t="shared" si="1"/>
        <v>147.62412405128612</v>
      </c>
      <c r="D21" s="11">
        <f t="shared" si="2"/>
        <v>333.44180563221067</v>
      </c>
      <c r="E21" s="11">
        <f t="shared" si="3"/>
        <v>532.91456586862455</v>
      </c>
      <c r="F21" s="11">
        <f t="shared" si="4"/>
        <v>481.06592968349679</v>
      </c>
    </row>
    <row r="22" spans="1:6" x14ac:dyDescent="0.3">
      <c r="A22" s="12">
        <v>2034</v>
      </c>
      <c r="B22" s="11">
        <f t="shared" si="0"/>
        <v>204.26010648208782</v>
      </c>
      <c r="C22" s="11">
        <f t="shared" si="1"/>
        <v>150.13373416015796</v>
      </c>
      <c r="D22" s="11">
        <f t="shared" si="2"/>
        <v>338.44343271669379</v>
      </c>
      <c r="E22" s="11">
        <f t="shared" si="3"/>
        <v>542.70353919878164</v>
      </c>
      <c r="F22" s="11">
        <f t="shared" si="4"/>
        <v>488.57716687685172</v>
      </c>
    </row>
    <row r="23" spans="1:6" x14ac:dyDescent="0.3">
      <c r="A23" s="9">
        <v>2035</v>
      </c>
      <c r="B23" s="11">
        <f t="shared" si="0"/>
        <v>209.16234903765795</v>
      </c>
      <c r="C23" s="11">
        <f t="shared" si="1"/>
        <v>152.68600764088063</v>
      </c>
      <c r="D23" s="11">
        <f t="shared" si="2"/>
        <v>343.52008420744414</v>
      </c>
      <c r="E23" s="11">
        <f t="shared" si="3"/>
        <v>552.68243324510206</v>
      </c>
      <c r="F23" s="11">
        <f t="shared" si="4"/>
        <v>496.20609184832477</v>
      </c>
    </row>
  </sheetData>
  <mergeCells count="1">
    <mergeCell ref="F1:I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986A-2AB5-4D81-8444-E9B8C7C1BF05}">
  <dimension ref="G11:J14"/>
  <sheetViews>
    <sheetView workbookViewId="0">
      <selection activeCell="G11" sqref="G11:J14"/>
    </sheetView>
  </sheetViews>
  <sheetFormatPr defaultRowHeight="14.4" x14ac:dyDescent="0.3"/>
  <cols>
    <col min="3" max="3" width="27.77734375" bestFit="1" customWidth="1"/>
    <col min="7" max="7" width="27.77734375" bestFit="1" customWidth="1"/>
    <col min="8" max="9" width="6.5546875" bestFit="1" customWidth="1"/>
    <col min="10" max="10" width="7.5546875" bestFit="1" customWidth="1"/>
  </cols>
  <sheetData>
    <row r="11" spans="7:10" x14ac:dyDescent="0.3">
      <c r="G11" s="1" t="s">
        <v>0</v>
      </c>
      <c r="H11" s="1" t="s">
        <v>1</v>
      </c>
      <c r="I11" s="1" t="s">
        <v>2</v>
      </c>
      <c r="J11" s="1" t="s">
        <v>3</v>
      </c>
    </row>
    <row r="12" spans="7:10" x14ac:dyDescent="0.3">
      <c r="G12" t="s">
        <v>4</v>
      </c>
      <c r="H12" s="4">
        <v>30</v>
      </c>
      <c r="I12" s="4">
        <v>30</v>
      </c>
      <c r="J12" s="4">
        <v>16</v>
      </c>
    </row>
    <row r="13" spans="7:10" x14ac:dyDescent="0.3">
      <c r="G13" t="s">
        <v>5</v>
      </c>
      <c r="H13" s="2">
        <v>5.5</v>
      </c>
      <c r="I13" s="2">
        <v>4.3</v>
      </c>
      <c r="J13" s="2">
        <v>18.5</v>
      </c>
    </row>
    <row r="14" spans="7:10" x14ac:dyDescent="0.3">
      <c r="G14" t="s">
        <v>6</v>
      </c>
      <c r="H14" s="3">
        <v>2.4E-2</v>
      </c>
      <c r="I14" s="3">
        <v>1.7000000000000001E-2</v>
      </c>
      <c r="J14" s="3">
        <v>1.4999999999999999E-2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problem_statement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kumar pandey</dc:creator>
  <cp:lastModifiedBy>vipin kumar pandey</cp:lastModifiedBy>
  <dcterms:created xsi:type="dcterms:W3CDTF">2025-09-22T09:18:33Z</dcterms:created>
  <dcterms:modified xsi:type="dcterms:W3CDTF">2025-09-22T10:42:08Z</dcterms:modified>
</cp:coreProperties>
</file>