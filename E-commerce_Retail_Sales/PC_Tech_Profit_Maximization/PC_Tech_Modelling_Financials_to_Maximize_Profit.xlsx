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C:\Users\pvipi\Desktop\VIP_GitHub\Excel_Projects\E-commerce_Retail_Sales\"/>
    </mc:Choice>
  </mc:AlternateContent>
  <xr:revisionPtr revIDLastSave="0" documentId="13_ncr:1_{9143CF83-FA90-4BC4-820E-8C716EE4095F}" xr6:coauthVersionLast="47" xr6:coauthVersionMax="47" xr10:uidLastSave="{00000000-0000-0000-0000-000000000000}"/>
  <bookViews>
    <workbookView xWindow="-108" yWindow="-108" windowWidth="23256" windowHeight="12456" xr2:uid="{194C89C8-78F5-47C7-AFE4-4490EB54D73F}"/>
  </bookViews>
  <sheets>
    <sheet name="Sheet1" sheetId="1" r:id="rId1"/>
    <sheet name="problem_statement" sheetId="2" r:id="rId2"/>
  </sheets>
  <definedNames>
    <definedName name="solver_adj" localSheetId="0" hidden="1">Sheet1!$B$2:$C$2</definedName>
    <definedName name="solver_cvg" localSheetId="0" hidden="1">0.0001</definedName>
    <definedName name="solver_drv" localSheetId="0" hidden="1">1</definedName>
    <definedName name="solver_eng" localSheetId="0" hidden="1">2</definedName>
    <definedName name="solver_est" localSheetId="0" hidden="1">1</definedName>
    <definedName name="solver_itr" localSheetId="0" hidden="1">2147483647</definedName>
    <definedName name="solver_lhs1" localSheetId="0" hidden="1">Sheet1!$D$22</definedName>
    <definedName name="solver_lhs2" localSheetId="0" hidden="1">Sheet1!$D$23</definedName>
    <definedName name="solver_lhs3" localSheetId="0" hidden="1">Sheet1!$D$24</definedName>
    <definedName name="solver_lhs4" localSheetId="0" hidden="1">Sheet1!$D$25</definedName>
    <definedName name="solver_mip" localSheetId="0" hidden="1">2147483647</definedName>
    <definedName name="solver_mni" localSheetId="0" hidden="1">30</definedName>
    <definedName name="solver_mrt" localSheetId="0" hidden="1">0.075</definedName>
    <definedName name="solver_msl" localSheetId="0" hidden="1">2</definedName>
    <definedName name="solver_neg" localSheetId="0" hidden="1">1</definedName>
    <definedName name="solver_nod" localSheetId="0" hidden="1">2147483647</definedName>
    <definedName name="solver_num" localSheetId="0" hidden="1">4</definedName>
    <definedName name="solver_nwt" localSheetId="0" hidden="1">1</definedName>
    <definedName name="solver_opt" localSheetId="0" hidden="1">Sheet1!$B$6</definedName>
    <definedName name="solver_pre" localSheetId="0" hidden="1">0.000001</definedName>
    <definedName name="solver_rbv" localSheetId="0" hidden="1">1</definedName>
    <definedName name="solver_rel1" localSheetId="0" hidden="1">1</definedName>
    <definedName name="solver_rel2" localSheetId="0" hidden="1">1</definedName>
    <definedName name="solver_rel3" localSheetId="0" hidden="1">1</definedName>
    <definedName name="solver_rel4" localSheetId="0" hidden="1">1</definedName>
    <definedName name="solver_rhs1" localSheetId="0" hidden="1">Sheet1!$F$22</definedName>
    <definedName name="solver_rhs2" localSheetId="0" hidden="1">Sheet1!$F$23</definedName>
    <definedName name="solver_rhs3" localSheetId="0" hidden="1">Sheet1!$F$24</definedName>
    <definedName name="solver_rhs4" localSheetId="0" hidden="1">Sheet1!$F$25</definedName>
    <definedName name="solver_rlx" localSheetId="0" hidden="1">2</definedName>
    <definedName name="solver_rsd" localSheetId="0" hidden="1">0</definedName>
    <definedName name="solver_scl" localSheetId="0" hidden="1">1</definedName>
    <definedName name="solver_sho" localSheetId="0" hidden="1">2</definedName>
    <definedName name="solver_ssz" localSheetId="0" hidden="1">100</definedName>
    <definedName name="solver_tim" localSheetId="0" hidden="1">2147483647</definedName>
    <definedName name="solver_tol" localSheetId="0" hidden="1">0.01</definedName>
    <definedName name="solver_typ" localSheetId="0" hidden="1">1</definedName>
    <definedName name="solver_val" localSheetId="0" hidden="1">0</definedName>
    <definedName name="solver_ver" localSheetId="0" hidden="1">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5" i="1" l="1"/>
  <c r="D25" i="1" s="1"/>
  <c r="B24" i="1"/>
  <c r="D24" i="1" s="1"/>
  <c r="C23" i="1"/>
  <c r="B23" i="1"/>
  <c r="C22" i="1"/>
  <c r="B22" i="1"/>
  <c r="B19" i="1"/>
  <c r="B15" i="1"/>
  <c r="D23" i="1" l="1"/>
  <c r="D22" i="1"/>
  <c r="B6" i="1"/>
</calcChain>
</file>

<file path=xl/sharedStrings.xml><?xml version="1.0" encoding="utf-8"?>
<sst xmlns="http://schemas.openxmlformats.org/spreadsheetml/2006/main" count="32" uniqueCount="27">
  <si>
    <t>No. of computers to produce:</t>
  </si>
  <si>
    <t>Basic</t>
  </si>
  <si>
    <t>XP</t>
  </si>
  <si>
    <t>Cost:</t>
  </si>
  <si>
    <t>Constraints:</t>
  </si>
  <si>
    <t>Assembly hours:</t>
  </si>
  <si>
    <t>Testing hours:</t>
  </si>
  <si>
    <t>Max. no of Basic computers</t>
  </si>
  <si>
    <t>Max. no of XP computers</t>
  </si>
  <si>
    <t>Cost of component:</t>
  </si>
  <si>
    <t>Cost of labor:</t>
  </si>
  <si>
    <t>Cost of testing:</t>
  </si>
  <si>
    <t>Cost of assembling:</t>
  </si>
  <si>
    <t>Revenue:</t>
  </si>
  <si>
    <t>Total Revenue:</t>
  </si>
  <si>
    <t>Total Cost:</t>
  </si>
  <si>
    <t>per hour</t>
  </si>
  <si>
    <t>No. of hours for testing:</t>
  </si>
  <si>
    <t>No. of hours for assembling:</t>
  </si>
  <si>
    <t>per computer</t>
  </si>
  <si>
    <t>Objective (Maximize Profit):</t>
  </si>
  <si>
    <t>Cost of components per computer:</t>
  </si>
  <si>
    <t>Selling Price per computer:</t>
  </si>
  <si>
    <t>LHS</t>
  </si>
  <si>
    <t>Sign</t>
  </si>
  <si>
    <t>RHS</t>
  </si>
  <si>
    <t>&lt;=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</si>
</sst>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_-[$$-409]* #,##0.00_ ;_-[$$-409]* \-#,##0.00\ ;_-[$$-409]* &quot;-&quot;??_ ;_-@_ "/>
  </numFmts>
  <fonts count="2" x14ac:knownFonts="1">
    <font>
      <sz val="11"/>
      <color theme="1"/>
      <name val="Aptos Narrow"/>
      <family val="2"/>
      <scheme val="minor"/>
    </font>
    <font>
      <b/>
      <sz val="11"/>
      <color theme="1"/>
      <name val="Aptos Narrow"/>
      <family val="2"/>
      <scheme val="minor"/>
    </font>
  </fonts>
  <fills count="6">
    <fill>
      <patternFill patternType="none"/>
    </fill>
    <fill>
      <patternFill patternType="gray125"/>
    </fill>
    <fill>
      <patternFill patternType="solid">
        <fgColor theme="5" tint="0.39997558519241921"/>
        <bgColor indexed="64"/>
      </patternFill>
    </fill>
    <fill>
      <patternFill patternType="solid">
        <fgColor rgb="FFFFFF00"/>
        <bgColor indexed="64"/>
      </patternFill>
    </fill>
    <fill>
      <patternFill patternType="solid">
        <fgColor theme="6" tint="0.39997558519241921"/>
        <bgColor indexed="64"/>
      </patternFill>
    </fill>
    <fill>
      <patternFill patternType="solid">
        <fgColor theme="6"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6">
    <xf numFmtId="0" fontId="0" fillId="0" borderId="0" xfId="0"/>
    <xf numFmtId="0" fontId="0" fillId="0" borderId="0" xfId="0" applyAlignment="1">
      <alignment horizontal="center"/>
    </xf>
    <xf numFmtId="0" fontId="0" fillId="0" borderId="0" xfId="0" applyAlignment="1">
      <alignment horizontal="left"/>
    </xf>
    <xf numFmtId="0" fontId="0" fillId="0" borderId="1" xfId="0" applyBorder="1" applyAlignment="1">
      <alignment horizontal="left"/>
    </xf>
    <xf numFmtId="0" fontId="0" fillId="0" borderId="1" xfId="0" applyBorder="1" applyAlignment="1">
      <alignment horizontal="center"/>
    </xf>
    <xf numFmtId="0" fontId="0" fillId="0" borderId="1" xfId="0" applyBorder="1" applyAlignment="1">
      <alignment horizontal="left" indent="1"/>
    </xf>
    <xf numFmtId="0" fontId="1" fillId="0" borderId="1" xfId="0" applyFont="1" applyBorder="1"/>
    <xf numFmtId="166" fontId="0" fillId="4" borderId="1" xfId="0" applyNumberFormat="1" applyFill="1" applyBorder="1"/>
    <xf numFmtId="0" fontId="0" fillId="0" borderId="1" xfId="0" applyBorder="1"/>
    <xf numFmtId="0" fontId="0" fillId="0" borderId="1" xfId="0" applyBorder="1" applyAlignment="1">
      <alignment horizontal="left" indent="3"/>
    </xf>
    <xf numFmtId="166" fontId="0" fillId="0" borderId="1" xfId="0" applyNumberFormat="1" applyBorder="1" applyAlignment="1">
      <alignment horizontal="center"/>
    </xf>
    <xf numFmtId="166" fontId="0" fillId="0" borderId="1" xfId="0" applyNumberFormat="1" applyBorder="1"/>
    <xf numFmtId="0" fontId="0" fillId="0" borderId="1" xfId="0" applyBorder="1" applyAlignment="1"/>
    <xf numFmtId="166" fontId="0" fillId="2" borderId="1" xfId="0" applyNumberFormat="1" applyFill="1" applyBorder="1" applyAlignment="1">
      <alignment horizontal="center"/>
    </xf>
    <xf numFmtId="166" fontId="0" fillId="3" borderId="1" xfId="0" applyNumberFormat="1" applyFill="1" applyBorder="1" applyAlignment="1">
      <alignment horizontal="center"/>
    </xf>
    <xf numFmtId="0" fontId="0" fillId="5" borderId="0" xfId="0" applyFill="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11</xdr:col>
      <xdr:colOff>571500</xdr:colOff>
      <xdr:row>1</xdr:row>
      <xdr:rowOff>0</xdr:rowOff>
    </xdr:from>
    <xdr:to>
      <xdr:col>18</xdr:col>
      <xdr:colOff>53340</xdr:colOff>
      <xdr:row>5</xdr:row>
      <xdr:rowOff>22860</xdr:rowOff>
    </xdr:to>
    <xdr:sp macro="" textlink="">
      <xdr:nvSpPr>
        <xdr:cNvPr id="2" name="TextBox 1">
          <a:extLst>
            <a:ext uri="{FF2B5EF4-FFF2-40B4-BE49-F238E27FC236}">
              <a16:creationId xmlns:a16="http://schemas.microsoft.com/office/drawing/2014/main" id="{74068E67-D9C5-1BA3-F699-DE21913FE2B8}"/>
            </a:ext>
          </a:extLst>
        </xdr:cNvPr>
        <xdr:cNvSpPr txBox="1"/>
      </xdr:nvSpPr>
      <xdr:spPr>
        <a:xfrm>
          <a:off x="9326880" y="182880"/>
          <a:ext cx="3749040" cy="754380"/>
        </a:xfrm>
        <a:prstGeom prst="rect">
          <a:avLst/>
        </a:prstGeom>
        <a:solidFill>
          <a:schemeClr val="bg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aseline="0"/>
            <a:t>The PC Tech Company shoudl produce 560 units of Basic computers and 1200 units of XP computers to maximize profit.</a:t>
          </a:r>
          <a:endParaRPr lang="en-IN"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7620</xdr:colOff>
      <xdr:row>1</xdr:row>
      <xdr:rowOff>0</xdr:rowOff>
    </xdr:from>
    <xdr:to>
      <xdr:col>21</xdr:col>
      <xdr:colOff>38100</xdr:colOff>
      <xdr:row>25</xdr:row>
      <xdr:rowOff>30480</xdr:rowOff>
    </xdr:to>
    <xdr:sp macro="" textlink="">
      <xdr:nvSpPr>
        <xdr:cNvPr id="2" name="TextBox 1">
          <a:extLst>
            <a:ext uri="{FF2B5EF4-FFF2-40B4-BE49-F238E27FC236}">
              <a16:creationId xmlns:a16="http://schemas.microsoft.com/office/drawing/2014/main" id="{3928469F-E12D-2568-E981-B7B395A01A65}"/>
            </a:ext>
          </a:extLst>
        </xdr:cNvPr>
        <xdr:cNvSpPr txBox="1"/>
      </xdr:nvSpPr>
      <xdr:spPr>
        <a:xfrm>
          <a:off x="617220" y="182880"/>
          <a:ext cx="12222480" cy="4419600"/>
        </a:xfrm>
        <a:prstGeom prst="rect">
          <a:avLst/>
        </a:prstGeom>
        <a:solidFill>
          <a:schemeClr val="bg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0" i="0">
              <a:solidFill>
                <a:schemeClr val="dk1"/>
              </a:solidFill>
              <a:effectLst/>
              <a:latin typeface="+mn-lt"/>
              <a:ea typeface="+mn-ea"/>
              <a:cs typeface="+mn-cs"/>
            </a:rPr>
            <a:t>Scenario:</a:t>
          </a:r>
        </a:p>
        <a:p>
          <a:r>
            <a:rPr lang="en-IN" sz="1100" b="0" i="0">
              <a:solidFill>
                <a:schemeClr val="dk1"/>
              </a:solidFill>
              <a:effectLst/>
              <a:latin typeface="+mn-lt"/>
              <a:ea typeface="+mn-ea"/>
              <a:cs typeface="+mn-cs"/>
            </a:rPr>
            <a:t>The PC Tech company assembles and then tests two models of computers, Basic and XP.  For the coming month, the company wants to decide how many of each model to assemble and then test.  No computers are in inventory from the previous month, and because these models are going to be changed after this month, the company doesn’t want to hold any inventory after this month.  It believes the most it can sell this month are 600 Basics and 1200 XPs.  Each Basic sells for $300 and each XP sells for $450. The cost of component parts for a Basic is $150; for an XP it is $225.  Labor is required for assembly and testing.  There are at most 10,000 assembly hours and 3,000 testing hours available.  Each labor hour for assembling costs $11 and each labor hour for testing costs $15.  Each Basic requires five hours for assembling and one hour for testing.  Each XP requires six hours for assembling and two hours for testing. PC Tech wants to know how many of each model it should produce (assemble and test) to maximize its net profit, but it cannot use more labor hours that are available, and it does not want to produce more than it can sell. </a:t>
          </a:r>
        </a:p>
        <a:p>
          <a:br>
            <a:rPr lang="en-IN"/>
          </a:br>
          <a:r>
            <a:rPr lang="en-IN"/>
            <a:t>Key</a:t>
          </a:r>
          <a:r>
            <a:rPr lang="en-IN" baseline="0"/>
            <a:t> Points:</a:t>
          </a:r>
        </a:p>
        <a:p>
          <a:r>
            <a:rPr lang="en-IN" sz="1100" baseline="0"/>
            <a:t>. two models of computers - Basic &amp; XP</a:t>
          </a:r>
        </a:p>
        <a:p>
          <a:r>
            <a:rPr lang="en-IN" sz="1100" baseline="0"/>
            <a:t>.  Max. no. of Basic computers the can be sold this month- 600</a:t>
          </a:r>
        </a:p>
        <a:p>
          <a:r>
            <a:rPr lang="en-IN" sz="1100" baseline="0"/>
            <a:t>. Max. no. of XP computers that can be sold this month - 1200</a:t>
          </a:r>
        </a:p>
        <a:p>
          <a:r>
            <a:rPr lang="en-IN" sz="1100" baseline="0"/>
            <a:t>. selling price of Basic computers - $300 per unit</a:t>
          </a:r>
        </a:p>
        <a:p>
          <a:r>
            <a:rPr lang="en-IN" sz="1100" baseline="0"/>
            <a:t>. selling price of XP computers - $450 per unit</a:t>
          </a:r>
        </a:p>
        <a:p>
          <a:r>
            <a:rPr lang="en-IN" sz="1100" baseline="0"/>
            <a:t>. cost of component parts for a Basic computer - $150 per Basic computer</a:t>
          </a:r>
        </a:p>
        <a:p>
          <a:r>
            <a:rPr lang="en-IN" sz="1100" baseline="0"/>
            <a:t>. cost of component parts for a XP computer  $225 per XP computer</a:t>
          </a:r>
        </a:p>
        <a:p>
          <a:r>
            <a:rPr lang="en-IN" sz="1100" baseline="0"/>
            <a:t>. no of assembly hours - 10000</a:t>
          </a:r>
        </a:p>
        <a:p>
          <a:r>
            <a:rPr lang="en-IN" sz="1100" baseline="0"/>
            <a:t>. no of testing hours - 3000</a:t>
          </a:r>
        </a:p>
        <a:p>
          <a:r>
            <a:rPr lang="en-IN" sz="1100" baseline="0"/>
            <a:t>. labor cost per hour for assembling - $11</a:t>
          </a:r>
        </a:p>
        <a:p>
          <a:r>
            <a:rPr lang="en-IN" sz="1100" baseline="0"/>
            <a:t>. labor cost per hour for testing - $15</a:t>
          </a:r>
        </a:p>
        <a:p>
          <a:r>
            <a:rPr lang="en-IN" sz="1100" baseline="0"/>
            <a:t>. no. of hours required for assembling each basic computer - 5</a:t>
          </a:r>
        </a:p>
        <a:p>
          <a:r>
            <a:rPr lang="en-IN" sz="1100" baseline="0"/>
            <a:t>. no. of hours required for testing each basic computer - 1</a:t>
          </a:r>
        </a:p>
        <a:p>
          <a:r>
            <a:rPr lang="en-IN" sz="1100" baseline="0"/>
            <a:t>. no. of hours required for assembling each XP computer - 6</a:t>
          </a:r>
        </a:p>
        <a:p>
          <a:r>
            <a:rPr lang="en-IN" sz="1100" baseline="0"/>
            <a:t>. no. of hours required for testing each XP computer - 2</a:t>
          </a:r>
        </a:p>
        <a:p>
          <a:endParaRPr lang="en-IN"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CB21F1-9067-4454-B8F6-0B1C70A9754C}">
  <dimension ref="A1:W26"/>
  <sheetViews>
    <sheetView tabSelected="1" workbookViewId="0">
      <selection activeCell="N8" sqref="N8"/>
    </sheetView>
  </sheetViews>
  <sheetFormatPr defaultRowHeight="14.4" x14ac:dyDescent="0.3"/>
  <cols>
    <col min="1" max="1" width="32.109375" bestFit="1" customWidth="1"/>
    <col min="2" max="2" width="12.6640625" bestFit="1" customWidth="1"/>
    <col min="4" max="4" width="11.77734375" bestFit="1" customWidth="1"/>
  </cols>
  <sheetData>
    <row r="1" spans="1:23" x14ac:dyDescent="0.3">
      <c r="A1" s="1"/>
      <c r="B1" s="1" t="s">
        <v>1</v>
      </c>
      <c r="C1" s="1" t="s">
        <v>2</v>
      </c>
      <c r="D1" s="1"/>
      <c r="E1" s="1"/>
      <c r="F1" s="1"/>
      <c r="G1" s="1"/>
      <c r="H1" s="1"/>
      <c r="I1" s="1"/>
      <c r="J1" s="1"/>
      <c r="K1" s="1"/>
      <c r="L1" s="1"/>
      <c r="M1" s="1"/>
      <c r="N1" s="1"/>
      <c r="O1" s="1"/>
      <c r="P1" s="1"/>
      <c r="Q1" s="1"/>
      <c r="R1" s="1"/>
      <c r="S1" s="1"/>
      <c r="T1" s="1"/>
      <c r="U1" s="1"/>
      <c r="V1" s="1"/>
      <c r="W1" s="1"/>
    </row>
    <row r="2" spans="1:23" x14ac:dyDescent="0.3">
      <c r="A2" s="2" t="s">
        <v>0</v>
      </c>
      <c r="B2" s="15">
        <v>560</v>
      </c>
      <c r="C2" s="15">
        <v>1200</v>
      </c>
      <c r="D2" s="1"/>
      <c r="E2" s="1"/>
      <c r="F2" s="1"/>
      <c r="G2" s="1"/>
      <c r="H2" s="1"/>
      <c r="I2" s="1"/>
      <c r="J2" s="1"/>
      <c r="K2" s="1"/>
      <c r="L2" s="1"/>
      <c r="M2" s="1"/>
      <c r="N2" s="1"/>
      <c r="O2" s="1"/>
      <c r="P2" s="1"/>
      <c r="Q2" s="1"/>
      <c r="R2" s="1"/>
      <c r="S2" s="1"/>
      <c r="T2" s="1"/>
      <c r="U2" s="1"/>
      <c r="V2" s="1"/>
      <c r="W2" s="1"/>
    </row>
    <row r="3" spans="1:23" x14ac:dyDescent="0.3">
      <c r="A3" t="s">
        <v>18</v>
      </c>
      <c r="B3" s="1">
        <v>5</v>
      </c>
      <c r="C3" s="1">
        <v>6</v>
      </c>
      <c r="D3" t="s">
        <v>19</v>
      </c>
      <c r="E3" s="1"/>
      <c r="F3" s="1"/>
      <c r="G3" s="1"/>
      <c r="H3" s="1"/>
      <c r="I3" s="1"/>
      <c r="J3" s="1"/>
      <c r="K3" s="1"/>
      <c r="L3" s="1"/>
      <c r="M3" s="1"/>
      <c r="N3" s="1"/>
      <c r="O3" s="1"/>
      <c r="P3" s="1"/>
      <c r="Q3" s="1"/>
      <c r="R3" s="1"/>
      <c r="S3" s="1"/>
      <c r="T3" s="1"/>
      <c r="U3" s="1"/>
      <c r="V3" s="1"/>
      <c r="W3" s="1"/>
    </row>
    <row r="4" spans="1:23" x14ac:dyDescent="0.3">
      <c r="A4" t="s">
        <v>17</v>
      </c>
      <c r="B4" s="1">
        <v>1</v>
      </c>
      <c r="C4" s="1">
        <v>2</v>
      </c>
      <c r="D4" t="s">
        <v>19</v>
      </c>
      <c r="E4" s="1"/>
      <c r="F4" s="1"/>
      <c r="G4" s="1"/>
      <c r="H4" s="1"/>
      <c r="I4" s="1"/>
      <c r="J4" s="1"/>
      <c r="K4" s="1"/>
      <c r="L4" s="1"/>
      <c r="M4" s="1"/>
      <c r="N4" s="1"/>
      <c r="O4" s="1"/>
      <c r="P4" s="1"/>
      <c r="Q4" s="1"/>
      <c r="R4" s="1"/>
      <c r="S4" s="1"/>
      <c r="T4" s="1"/>
      <c r="U4" s="1"/>
      <c r="V4" s="1"/>
      <c r="W4" s="1"/>
    </row>
    <row r="5" spans="1:23" x14ac:dyDescent="0.3">
      <c r="E5" s="1"/>
      <c r="F5" s="1"/>
      <c r="G5" s="1"/>
      <c r="H5" s="1"/>
      <c r="I5" s="1"/>
      <c r="J5" s="1"/>
      <c r="K5" s="1"/>
      <c r="L5" s="1"/>
      <c r="M5" s="1"/>
      <c r="N5" s="1"/>
      <c r="O5" s="1"/>
      <c r="P5" s="1"/>
      <c r="Q5" s="1"/>
      <c r="R5" s="1"/>
      <c r="S5" s="1"/>
      <c r="T5" s="1"/>
      <c r="U5" s="1"/>
      <c r="V5" s="1"/>
      <c r="W5" s="1"/>
    </row>
    <row r="6" spans="1:23" x14ac:dyDescent="0.3">
      <c r="A6" s="6" t="s">
        <v>20</v>
      </c>
      <c r="B6" s="7">
        <f>B19-B15</f>
        <v>199600</v>
      </c>
      <c r="E6" s="1"/>
      <c r="F6" s="1"/>
      <c r="G6" s="1"/>
      <c r="H6" s="1"/>
      <c r="L6" s="1"/>
      <c r="M6" s="1"/>
      <c r="N6" s="1"/>
      <c r="O6" s="1"/>
      <c r="P6" s="1"/>
      <c r="Q6" s="1"/>
      <c r="R6" s="1"/>
      <c r="S6" s="1"/>
      <c r="T6" s="1"/>
      <c r="U6" s="1"/>
      <c r="V6" s="1"/>
      <c r="W6" s="1"/>
    </row>
    <row r="7" spans="1:23" x14ac:dyDescent="0.3">
      <c r="E7" s="1"/>
      <c r="F7" s="1"/>
      <c r="G7" s="1"/>
      <c r="H7" s="1"/>
      <c r="I7" s="1"/>
      <c r="J7" s="1"/>
      <c r="K7" s="1"/>
      <c r="L7" s="1"/>
      <c r="M7" s="1"/>
      <c r="N7" s="1"/>
      <c r="O7" s="1"/>
      <c r="P7" s="1"/>
      <c r="Q7" s="1"/>
      <c r="R7" s="1"/>
      <c r="S7" s="1"/>
      <c r="T7" s="1"/>
      <c r="U7" s="1"/>
      <c r="V7" s="1"/>
      <c r="W7" s="1"/>
    </row>
    <row r="8" spans="1:23" x14ac:dyDescent="0.3">
      <c r="E8" s="1"/>
      <c r="F8" s="1"/>
      <c r="G8" s="1"/>
      <c r="H8" s="1"/>
      <c r="I8" s="1"/>
      <c r="J8" s="1"/>
      <c r="K8" s="1"/>
      <c r="L8" s="1"/>
      <c r="M8" s="1"/>
      <c r="N8" s="1"/>
      <c r="O8" s="1"/>
      <c r="P8" s="1"/>
      <c r="Q8" s="1"/>
      <c r="R8" s="1"/>
      <c r="S8" s="1"/>
      <c r="T8" s="1"/>
      <c r="U8" s="1"/>
      <c r="V8" s="1"/>
      <c r="W8" s="1"/>
    </row>
    <row r="9" spans="1:23" x14ac:dyDescent="0.3">
      <c r="A9" s="3" t="s">
        <v>3</v>
      </c>
      <c r="B9" s="8"/>
      <c r="C9" s="8"/>
      <c r="D9" s="4"/>
      <c r="E9" s="1"/>
      <c r="F9" s="1"/>
      <c r="G9" s="1"/>
      <c r="H9" s="1"/>
      <c r="I9" s="1"/>
      <c r="J9" s="1"/>
      <c r="K9" s="1"/>
      <c r="L9" s="1"/>
      <c r="M9" s="1"/>
      <c r="N9" s="1"/>
      <c r="O9" s="1"/>
      <c r="P9" s="1"/>
      <c r="Q9" s="1"/>
      <c r="R9" s="1"/>
      <c r="S9" s="1"/>
      <c r="T9" s="1"/>
      <c r="U9" s="1"/>
      <c r="V9" s="1"/>
      <c r="W9" s="1"/>
    </row>
    <row r="10" spans="1:23" x14ac:dyDescent="0.3">
      <c r="A10" s="5" t="s">
        <v>9</v>
      </c>
      <c r="B10" s="8"/>
      <c r="C10" s="8"/>
      <c r="D10" s="4"/>
      <c r="E10" s="1"/>
      <c r="F10" s="1"/>
      <c r="G10" s="1"/>
      <c r="H10" s="1"/>
      <c r="I10" s="1"/>
      <c r="J10" s="1"/>
      <c r="K10" s="1"/>
      <c r="L10" s="1"/>
      <c r="M10" s="1"/>
      <c r="N10" s="1"/>
      <c r="O10" s="1"/>
      <c r="P10" s="1"/>
      <c r="Q10" s="1"/>
      <c r="R10" s="1"/>
      <c r="S10" s="1"/>
      <c r="T10" s="1"/>
      <c r="U10" s="1"/>
      <c r="V10" s="1"/>
      <c r="W10" s="1"/>
    </row>
    <row r="11" spans="1:23" x14ac:dyDescent="0.3">
      <c r="A11" s="9" t="s">
        <v>21</v>
      </c>
      <c r="B11" s="10">
        <v>150</v>
      </c>
      <c r="C11" s="10">
        <v>225</v>
      </c>
      <c r="D11" s="4"/>
      <c r="E11" s="1"/>
      <c r="F11" s="1"/>
      <c r="G11" s="1"/>
      <c r="H11" s="1"/>
      <c r="I11" s="1"/>
      <c r="J11" s="1"/>
      <c r="K11" s="1"/>
      <c r="L11" s="1"/>
      <c r="M11" s="1"/>
      <c r="N11" s="1"/>
      <c r="O11" s="1"/>
      <c r="P11" s="1"/>
      <c r="Q11" s="1"/>
      <c r="R11" s="1"/>
      <c r="S11" s="1"/>
      <c r="T11" s="1"/>
      <c r="U11" s="1"/>
      <c r="V11" s="1"/>
      <c r="W11" s="1"/>
    </row>
    <row r="12" spans="1:23" x14ac:dyDescent="0.3">
      <c r="A12" s="5" t="s">
        <v>10</v>
      </c>
      <c r="B12" s="11"/>
      <c r="C12" s="11"/>
      <c r="D12" s="4"/>
      <c r="E12" s="1"/>
      <c r="F12" s="1"/>
      <c r="G12" s="1"/>
      <c r="H12" s="1"/>
      <c r="I12" s="1"/>
      <c r="J12" s="1"/>
      <c r="K12" s="1"/>
      <c r="L12" s="1"/>
      <c r="M12" s="1"/>
      <c r="N12" s="1"/>
      <c r="O12" s="1"/>
      <c r="P12" s="1"/>
      <c r="Q12" s="1"/>
      <c r="R12" s="1"/>
      <c r="S12" s="1"/>
      <c r="T12" s="1"/>
      <c r="U12" s="1"/>
      <c r="V12" s="1"/>
      <c r="W12" s="1"/>
    </row>
    <row r="13" spans="1:23" x14ac:dyDescent="0.3">
      <c r="A13" s="9" t="s">
        <v>12</v>
      </c>
      <c r="B13" s="10">
        <v>11</v>
      </c>
      <c r="C13" s="10">
        <v>11</v>
      </c>
      <c r="D13" s="4" t="s">
        <v>16</v>
      </c>
      <c r="E13" s="1"/>
      <c r="F13" s="1"/>
      <c r="G13" s="1"/>
      <c r="H13" s="1"/>
      <c r="I13" s="1"/>
      <c r="J13" s="1"/>
      <c r="K13" s="1"/>
      <c r="L13" s="1"/>
      <c r="M13" s="1"/>
      <c r="N13" s="1"/>
      <c r="O13" s="1"/>
      <c r="P13" s="1"/>
      <c r="Q13" s="1"/>
      <c r="R13" s="1"/>
      <c r="S13" s="1"/>
      <c r="T13" s="1"/>
      <c r="U13" s="1"/>
      <c r="V13" s="1"/>
      <c r="W13" s="1"/>
    </row>
    <row r="14" spans="1:23" x14ac:dyDescent="0.3">
      <c r="A14" s="9" t="s">
        <v>11</v>
      </c>
      <c r="B14" s="10">
        <v>15</v>
      </c>
      <c r="C14" s="10">
        <v>15</v>
      </c>
      <c r="D14" s="4" t="s">
        <v>16</v>
      </c>
      <c r="E14" s="1"/>
      <c r="F14" s="1"/>
      <c r="G14" s="1"/>
      <c r="H14" s="1"/>
      <c r="I14" s="1"/>
      <c r="J14" s="1"/>
      <c r="K14" s="1"/>
      <c r="L14" s="1"/>
      <c r="M14" s="1"/>
      <c r="N14" s="1"/>
      <c r="O14" s="1"/>
      <c r="P14" s="1"/>
      <c r="Q14" s="1"/>
      <c r="R14" s="1"/>
      <c r="S14" s="1"/>
      <c r="T14" s="1"/>
      <c r="U14" s="1"/>
      <c r="V14" s="1"/>
      <c r="W14" s="1"/>
    </row>
    <row r="15" spans="1:23" x14ac:dyDescent="0.3">
      <c r="A15" s="12" t="s">
        <v>15</v>
      </c>
      <c r="B15" s="13">
        <f>SUMPRODUCT(B2:C2,B11:C11)+ SUMPRODUCT(B2:C2,B3:C3,B13:C13)+SUMPRODUCT(B2:C2,B4:C4,B14:C14)</f>
        <v>508400</v>
      </c>
      <c r="C15" s="8"/>
      <c r="D15" s="4"/>
      <c r="E15" s="1"/>
      <c r="F15" s="1"/>
      <c r="G15" s="1"/>
      <c r="H15" s="1"/>
      <c r="I15" s="1"/>
      <c r="J15" s="1"/>
      <c r="K15" s="1"/>
      <c r="L15" s="1"/>
      <c r="M15" s="1"/>
      <c r="N15" s="1"/>
      <c r="O15" s="1"/>
      <c r="P15" s="1"/>
      <c r="Q15" s="1"/>
      <c r="R15" s="1"/>
      <c r="S15" s="1"/>
      <c r="T15" s="1"/>
      <c r="U15" s="1"/>
      <c r="V15" s="1"/>
      <c r="W15" s="1"/>
    </row>
    <row r="16" spans="1:23" x14ac:dyDescent="0.3">
      <c r="D16" s="1"/>
      <c r="E16" s="1"/>
      <c r="F16" s="1"/>
      <c r="G16" s="1"/>
      <c r="H16" s="1"/>
      <c r="I16" s="1"/>
      <c r="J16" s="1"/>
      <c r="K16" s="1"/>
      <c r="L16" s="1"/>
      <c r="M16" s="1"/>
      <c r="N16" s="1"/>
      <c r="O16" s="1"/>
      <c r="P16" s="1"/>
      <c r="Q16" s="1"/>
      <c r="R16" s="1"/>
      <c r="S16" s="1"/>
      <c r="T16" s="1"/>
      <c r="U16" s="1"/>
      <c r="V16" s="1"/>
      <c r="W16" s="1"/>
    </row>
    <row r="17" spans="1:23" x14ac:dyDescent="0.3">
      <c r="A17" s="12" t="s">
        <v>13</v>
      </c>
      <c r="B17" s="8"/>
      <c r="C17" s="8"/>
      <c r="D17" s="1"/>
      <c r="E17" s="1"/>
      <c r="F17" s="1"/>
      <c r="G17" s="1"/>
      <c r="H17" s="1"/>
      <c r="I17" s="1"/>
      <c r="J17" s="1"/>
      <c r="K17" s="1"/>
      <c r="L17" s="1"/>
      <c r="M17" s="1"/>
      <c r="N17" s="1"/>
      <c r="O17" s="1"/>
      <c r="P17" s="1"/>
      <c r="Q17" s="1"/>
      <c r="R17" s="1"/>
      <c r="S17" s="1"/>
      <c r="T17" s="1"/>
      <c r="U17" s="1"/>
      <c r="V17" s="1"/>
      <c r="W17" s="1"/>
    </row>
    <row r="18" spans="1:23" x14ac:dyDescent="0.3">
      <c r="A18" s="5" t="s">
        <v>22</v>
      </c>
      <c r="B18" s="10">
        <v>300</v>
      </c>
      <c r="C18" s="10">
        <v>450</v>
      </c>
      <c r="D18" s="1"/>
      <c r="E18" s="1"/>
      <c r="F18" s="1"/>
      <c r="G18" s="1"/>
      <c r="H18" s="1"/>
      <c r="I18" s="1"/>
      <c r="J18" s="1"/>
      <c r="K18" s="1"/>
      <c r="L18" s="1"/>
      <c r="M18" s="1"/>
      <c r="N18" s="1"/>
      <c r="O18" s="1"/>
      <c r="P18" s="1"/>
      <c r="Q18" s="1"/>
      <c r="R18" s="1"/>
      <c r="S18" s="1"/>
      <c r="T18" s="1"/>
      <c r="U18" s="1"/>
      <c r="V18" s="1"/>
      <c r="W18" s="1"/>
    </row>
    <row r="19" spans="1:23" x14ac:dyDescent="0.3">
      <c r="A19" s="8" t="s">
        <v>14</v>
      </c>
      <c r="B19" s="14">
        <f>SUMPRODUCT(B2:C2,B18:C18)</f>
        <v>708000</v>
      </c>
      <c r="C19" s="8"/>
      <c r="D19" s="1"/>
      <c r="E19" s="1"/>
      <c r="F19" s="1"/>
      <c r="G19" s="1"/>
      <c r="H19" s="1"/>
      <c r="I19" s="1"/>
      <c r="J19" s="1"/>
      <c r="K19" s="1"/>
      <c r="L19" s="1"/>
      <c r="M19" s="1"/>
      <c r="N19" s="1"/>
      <c r="O19" s="1"/>
      <c r="P19" s="1"/>
      <c r="Q19" s="1"/>
      <c r="R19" s="1"/>
      <c r="S19" s="1"/>
      <c r="T19" s="1"/>
      <c r="U19" s="1"/>
      <c r="V19" s="1"/>
      <c r="W19" s="1"/>
    </row>
    <row r="20" spans="1:23" x14ac:dyDescent="0.3">
      <c r="D20" s="1"/>
      <c r="E20" s="1"/>
      <c r="F20" s="1"/>
      <c r="G20" s="1"/>
      <c r="H20" s="1"/>
      <c r="I20" s="1"/>
      <c r="J20" s="1"/>
      <c r="K20" s="1"/>
      <c r="L20" s="1"/>
      <c r="M20" s="1"/>
      <c r="N20" s="1"/>
      <c r="O20" s="1"/>
      <c r="P20" s="1"/>
      <c r="Q20" s="1"/>
      <c r="R20" s="1"/>
      <c r="S20" s="1"/>
      <c r="T20" s="1"/>
      <c r="U20" s="1"/>
      <c r="V20" s="1"/>
      <c r="W20" s="1"/>
    </row>
    <row r="21" spans="1:23" x14ac:dyDescent="0.3">
      <c r="A21" s="3" t="s">
        <v>4</v>
      </c>
      <c r="B21" s="4"/>
      <c r="C21" s="4"/>
      <c r="D21" s="4" t="s">
        <v>23</v>
      </c>
      <c r="E21" s="4" t="s">
        <v>24</v>
      </c>
      <c r="F21" s="4" t="s">
        <v>25</v>
      </c>
      <c r="G21" s="1"/>
      <c r="H21" s="1"/>
      <c r="I21" s="1"/>
      <c r="J21" s="1"/>
      <c r="K21" s="1"/>
      <c r="L21" s="1"/>
      <c r="M21" s="1"/>
      <c r="N21" s="1"/>
      <c r="O21" s="1"/>
      <c r="P21" s="1"/>
      <c r="Q21" s="1"/>
      <c r="R21" s="1"/>
      <c r="S21" s="1"/>
      <c r="T21" s="1"/>
      <c r="U21" s="1"/>
      <c r="V21" s="1"/>
      <c r="W21" s="1"/>
    </row>
    <row r="22" spans="1:23" x14ac:dyDescent="0.3">
      <c r="A22" s="5" t="s">
        <v>5</v>
      </c>
      <c r="B22" s="4">
        <f>B2*B3</f>
        <v>2800</v>
      </c>
      <c r="C22" s="4">
        <f>C2*C3</f>
        <v>7200</v>
      </c>
      <c r="D22" s="4">
        <f>B22+C22</f>
        <v>10000</v>
      </c>
      <c r="E22" s="4" t="s">
        <v>26</v>
      </c>
      <c r="F22" s="4">
        <v>10000</v>
      </c>
      <c r="G22" s="1"/>
      <c r="H22" s="1"/>
      <c r="I22" s="1"/>
      <c r="J22" s="1"/>
      <c r="K22" s="1"/>
      <c r="L22" s="1"/>
      <c r="M22" s="1"/>
      <c r="N22" s="1"/>
      <c r="O22" s="1"/>
      <c r="P22" s="1"/>
      <c r="Q22" s="1"/>
      <c r="R22" s="1"/>
      <c r="S22" s="1"/>
      <c r="T22" s="1"/>
      <c r="U22" s="1"/>
      <c r="V22" s="1"/>
      <c r="W22" s="1"/>
    </row>
    <row r="23" spans="1:23" x14ac:dyDescent="0.3">
      <c r="A23" s="5" t="s">
        <v>6</v>
      </c>
      <c r="B23" s="4">
        <f>B2*B4</f>
        <v>560</v>
      </c>
      <c r="C23" s="4">
        <f>C2*C4</f>
        <v>2400</v>
      </c>
      <c r="D23" s="4">
        <f>B23+C23</f>
        <v>2960</v>
      </c>
      <c r="E23" s="4" t="s">
        <v>26</v>
      </c>
      <c r="F23" s="4">
        <v>3000</v>
      </c>
      <c r="G23" s="1"/>
      <c r="H23" s="1"/>
      <c r="I23" s="1"/>
      <c r="J23" s="1"/>
      <c r="K23" s="1"/>
      <c r="L23" s="1"/>
      <c r="M23" s="1"/>
      <c r="N23" s="1"/>
      <c r="O23" s="1"/>
      <c r="P23" s="1"/>
      <c r="Q23" s="1"/>
      <c r="R23" s="1"/>
      <c r="S23" s="1"/>
      <c r="T23" s="1"/>
      <c r="U23" s="1"/>
      <c r="V23" s="1"/>
      <c r="W23" s="1"/>
    </row>
    <row r="24" spans="1:23" x14ac:dyDescent="0.3">
      <c r="A24" s="5" t="s">
        <v>7</v>
      </c>
      <c r="B24" s="4">
        <f>B2</f>
        <v>560</v>
      </c>
      <c r="C24" s="4">
        <v>0</v>
      </c>
      <c r="D24" s="4">
        <f>B24+C24</f>
        <v>560</v>
      </c>
      <c r="E24" s="4" t="s">
        <v>26</v>
      </c>
      <c r="F24" s="4">
        <v>600</v>
      </c>
      <c r="G24" s="1"/>
      <c r="H24" s="1"/>
      <c r="I24" s="1"/>
      <c r="J24" s="1"/>
      <c r="K24" s="1"/>
      <c r="L24" s="1"/>
      <c r="M24" s="1"/>
      <c r="N24" s="1"/>
      <c r="O24" s="1"/>
      <c r="P24" s="1"/>
      <c r="Q24" s="1"/>
      <c r="R24" s="1"/>
      <c r="S24" s="1"/>
      <c r="T24" s="1"/>
      <c r="U24" s="1"/>
      <c r="V24" s="1"/>
      <c r="W24" s="1"/>
    </row>
    <row r="25" spans="1:23" x14ac:dyDescent="0.3">
      <c r="A25" s="5" t="s">
        <v>8</v>
      </c>
      <c r="B25" s="4">
        <v>0</v>
      </c>
      <c r="C25" s="4">
        <f>C2</f>
        <v>1200</v>
      </c>
      <c r="D25" s="4">
        <f>B25+C25</f>
        <v>1200</v>
      </c>
      <c r="E25" s="4" t="s">
        <v>26</v>
      </c>
      <c r="F25" s="4">
        <v>1200</v>
      </c>
      <c r="G25" s="1"/>
      <c r="H25" s="1"/>
      <c r="I25" s="1"/>
      <c r="J25" s="1"/>
      <c r="K25" s="1"/>
      <c r="L25" s="1"/>
      <c r="M25" s="1"/>
      <c r="N25" s="1"/>
      <c r="O25" s="1"/>
      <c r="P25" s="1"/>
      <c r="Q25" s="1"/>
      <c r="R25" s="1"/>
      <c r="S25" s="1"/>
      <c r="T25" s="1"/>
      <c r="U25" s="1"/>
      <c r="V25" s="1"/>
      <c r="W25" s="1"/>
    </row>
    <row r="26" spans="1:23" x14ac:dyDescent="0.3">
      <c r="G26" s="1"/>
      <c r="H26" s="1"/>
      <c r="I26" s="1"/>
      <c r="J26" s="1"/>
      <c r="K26" s="1"/>
      <c r="L26" s="1"/>
      <c r="M26" s="1"/>
      <c r="N26" s="1"/>
      <c r="O26" s="1"/>
      <c r="P26" s="1"/>
      <c r="Q26" s="1"/>
      <c r="R26" s="1"/>
      <c r="S26" s="1"/>
      <c r="T26" s="1"/>
      <c r="U26" s="1"/>
      <c r="V26" s="1"/>
      <c r="W26" s="1"/>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103A7C-C07E-4CA5-BE8F-A57AFF225E7A}">
  <dimension ref="A1"/>
  <sheetViews>
    <sheetView workbookViewId="0">
      <selection activeCell="E27" sqref="E27"/>
    </sheetView>
  </sheetViews>
  <sheetFormatPr defaultRowHeight="14.4" x14ac:dyDescent="0.3"/>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problem_statement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vipin kumar pandey</dc:creator>
  <cp:lastModifiedBy>vipin kumar pandey</cp:lastModifiedBy>
  <dcterms:created xsi:type="dcterms:W3CDTF">2025-10-02T23:03:27Z</dcterms:created>
  <dcterms:modified xsi:type="dcterms:W3CDTF">2025-10-03T01:49:09Z</dcterms:modified>
</cp:coreProperties>
</file>