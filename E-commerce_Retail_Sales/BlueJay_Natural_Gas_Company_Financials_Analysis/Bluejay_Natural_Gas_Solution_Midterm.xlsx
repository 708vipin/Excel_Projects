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FDEDE32E-77E3-4A12-9C29-BC3A3363DC56}" xr6:coauthVersionLast="47" xr6:coauthVersionMax="47" xr10:uidLastSave="{00000000-0000-0000-0000-000000000000}"/>
  <bookViews>
    <workbookView xWindow="-108" yWindow="-108" windowWidth="23256" windowHeight="12456" xr2:uid="{EB30C26F-4571-5447-8EFE-CD622A342A0B}"/>
  </bookViews>
  <sheets>
    <sheet name="Project Model" sheetId="2" r:id="rId1"/>
    <sheet name="Approved Line Charts" sheetId="6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'Project Model'!$N$14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2" l="1"/>
  <c r="J32" i="2"/>
  <c r="J28" i="2"/>
  <c r="J19" i="2"/>
  <c r="H33" i="2"/>
  <c r="I33" i="2" s="1"/>
  <c r="J33" i="2" s="1"/>
  <c r="H34" i="2"/>
  <c r="H32" i="2"/>
  <c r="I32" i="2" s="1"/>
  <c r="H27" i="2"/>
  <c r="I27" i="2" s="1"/>
  <c r="J27" i="2" s="1"/>
  <c r="H28" i="2"/>
  <c r="I28" i="2" s="1"/>
  <c r="H29" i="2"/>
  <c r="I29" i="2" s="1"/>
  <c r="J29" i="2" s="1"/>
  <c r="H26" i="2"/>
  <c r="H20" i="2"/>
  <c r="I20" i="2" s="1"/>
  <c r="J20" i="2" s="1"/>
  <c r="H21" i="2"/>
  <c r="I21" i="2" s="1"/>
  <c r="J21" i="2" s="1"/>
  <c r="H22" i="2"/>
  <c r="I22" i="2" s="1"/>
  <c r="J22" i="2" s="1"/>
  <c r="H23" i="2"/>
  <c r="H19" i="2"/>
  <c r="D20" i="2"/>
  <c r="G20" i="2"/>
  <c r="I34" i="2"/>
  <c r="I26" i="2"/>
  <c r="J26" i="2" s="1"/>
  <c r="I23" i="2"/>
  <c r="J23" i="2" s="1"/>
  <c r="I19" i="2"/>
  <c r="O26" i="2"/>
  <c r="N13" i="2"/>
  <c r="D38" i="2"/>
  <c r="G38" i="2" s="1"/>
  <c r="N17" i="2"/>
  <c r="N16" i="2"/>
  <c r="N15" i="2"/>
  <c r="E38" i="2"/>
  <c r="E24" i="2"/>
  <c r="D24" i="2"/>
  <c r="G19" i="2"/>
  <c r="D19" i="2"/>
  <c r="I38" i="2" l="1"/>
  <c r="E42" i="2"/>
  <c r="D33" i="2"/>
  <c r="F33" i="2"/>
  <c r="F34" i="2"/>
  <c r="F32" i="2"/>
  <c r="F35" i="2" s="1"/>
  <c r="Q28" i="2" s="1"/>
  <c r="F27" i="2"/>
  <c r="F28" i="2"/>
  <c r="F29" i="2"/>
  <c r="F26" i="2"/>
  <c r="F30" i="2" s="1"/>
  <c r="Q27" i="2" s="1"/>
  <c r="F20" i="2"/>
  <c r="F21" i="2"/>
  <c r="F22" i="2"/>
  <c r="F23" i="2"/>
  <c r="F19" i="2"/>
  <c r="F24" i="2" s="1"/>
  <c r="Q26" i="2" s="1"/>
  <c r="E33" i="2"/>
  <c r="E34" i="2"/>
  <c r="E32" i="2"/>
  <c r="E27" i="2"/>
  <c r="E28" i="2"/>
  <c r="E29" i="2"/>
  <c r="E26" i="2"/>
  <c r="E30" i="2" s="1"/>
  <c r="P27" i="2" s="1"/>
  <c r="E20" i="2"/>
  <c r="E21" i="2"/>
  <c r="E22" i="2"/>
  <c r="E23" i="2"/>
  <c r="E19" i="2"/>
  <c r="D34" i="2"/>
  <c r="D32" i="2"/>
  <c r="D27" i="2"/>
  <c r="D28" i="2"/>
  <c r="D29" i="2"/>
  <c r="D26" i="2"/>
  <c r="D23" i="2"/>
  <c r="D22" i="2"/>
  <c r="D21" i="2"/>
  <c r="D35" i="2" l="1"/>
  <c r="O28" i="2" s="1"/>
  <c r="E35" i="2"/>
  <c r="P28" i="2" s="1"/>
  <c r="D30" i="2"/>
  <c r="O27" i="2" s="1"/>
  <c r="P26" i="2"/>
  <c r="F38" i="2"/>
  <c r="G30" i="2"/>
  <c r="N14" i="2"/>
  <c r="G34" i="2"/>
  <c r="N18" i="2"/>
  <c r="G33" i="2"/>
  <c r="G26" i="2"/>
  <c r="G27" i="2"/>
  <c r="G32" i="2"/>
  <c r="G22" i="2"/>
  <c r="G28" i="2"/>
  <c r="G21" i="2"/>
  <c r="G23" i="2"/>
  <c r="G29" i="2"/>
  <c r="G35" i="2" l="1"/>
  <c r="G24" i="2"/>
  <c r="N12" i="2"/>
  <c r="G42" i="2"/>
  <c r="F42" i="2"/>
  <c r="N10" i="2"/>
  <c r="N11" i="2"/>
  <c r="N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8" authorId="0" shapeId="0" xr:uid="{DF6A1D6C-9708-40D9-96AB-49876B0B0B6B}">
      <text>
        <r>
          <rPr>
            <b/>
            <sz val="9"/>
            <color indexed="81"/>
            <rFont val="Tahoma"/>
            <family val="2"/>
          </rPr>
          <t xml:space="preserve">Based on Adjusted ROI; not based on % partnership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<sst xmlns="http://schemas.openxmlformats.org/spreadsheetml/2006/main" count="83" uniqueCount="52">
  <si>
    <t>Project Index</t>
  </si>
  <si>
    <t>Functional Area</t>
  </si>
  <si>
    <t>Partnership %</t>
  </si>
  <si>
    <t>Capex Year 1</t>
  </si>
  <si>
    <t>Capex Year 2</t>
  </si>
  <si>
    <t>Capex Year 3</t>
  </si>
  <si>
    <t>NPV</t>
  </si>
  <si>
    <t xml:space="preserve">Approval Rating </t>
  </si>
  <si>
    <t>FA 1</t>
  </si>
  <si>
    <t>FA 2</t>
  </si>
  <si>
    <t>FA 3</t>
  </si>
  <si>
    <t xml:space="preserve">Total Cost </t>
  </si>
  <si>
    <t xml:space="preserve">Requirement Checks </t>
  </si>
  <si>
    <t>Capital Ex. Under 4000 (Y1)</t>
  </si>
  <si>
    <t>Capital Ex. under 4000 (Y2)</t>
  </si>
  <si>
    <t>Capital Ex. under 4000 (Y3)</t>
  </si>
  <si>
    <t>Under $10,000 (year 1-3)</t>
  </si>
  <si>
    <t>Cap Ex. Yr2</t>
  </si>
  <si>
    <t>Cap Ex. Yr1</t>
  </si>
  <si>
    <t>Cap Ex. Yr3</t>
  </si>
  <si>
    <t>Annual Revenue (millions)</t>
  </si>
  <si>
    <t>Expenditure (millions)</t>
  </si>
  <si>
    <t>Inputs</t>
  </si>
  <si>
    <t>Yearly Cap (millions)</t>
  </si>
  <si>
    <t>Given:</t>
  </si>
  <si>
    <t>New NPV</t>
  </si>
  <si>
    <t>Number of Approved Project for FA 1</t>
  </si>
  <si>
    <t>Number of Approved Project for FA 2</t>
  </si>
  <si>
    <t>Number of Approved Project for FA 3</t>
  </si>
  <si>
    <t xml:space="preserve">Total Number of Approved Projects </t>
  </si>
  <si>
    <t>ROI</t>
  </si>
  <si>
    <t xml:space="preserve">% Change </t>
  </si>
  <si>
    <t xml:space="preserve">ROI </t>
  </si>
  <si>
    <t>Average</t>
  </si>
  <si>
    <t>Minimum</t>
  </si>
  <si>
    <t>Maximum</t>
  </si>
  <si>
    <t>Are the Conditions Met?</t>
  </si>
  <si>
    <t>FA 1 Approved Totals:</t>
  </si>
  <si>
    <t>FA 2  Approved Totals:</t>
  </si>
  <si>
    <t>FA 3 Approved Totals:</t>
  </si>
  <si>
    <t xml:space="preserve">FA 1 </t>
  </si>
  <si>
    <t xml:space="preserve">Approved Cap Ex. Year Totals </t>
  </si>
  <si>
    <t>Year 1</t>
  </si>
  <si>
    <t xml:space="preserve">Year 2 </t>
  </si>
  <si>
    <t xml:space="preserve">Year 3 </t>
  </si>
  <si>
    <t>Functional Area:</t>
  </si>
  <si>
    <t>Bluejay Natural Gas Financials (in millions)</t>
  </si>
  <si>
    <t xml:space="preserve">Each FA has at least 1 project approved </t>
  </si>
  <si>
    <t>Overall Totals for Approved Projects:</t>
  </si>
  <si>
    <t>NPV Discount Rate % decrease:</t>
  </si>
  <si>
    <t>Adjusted based on % Partnership:</t>
  </si>
  <si>
    <t>Total Approved NPV: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</si>
</sst>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24588D"/>
      <name val="Helvetica Neue"/>
      <family val="2"/>
    </font>
    <font>
      <sz val="12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5" fontId="0" fillId="0" borderId="0" xfId="1" applyNumberFormat="1" applyFont="1"/>
    <xf numFmtId="9" fontId="0" fillId="0" borderId="1" xfId="2" applyFont="1" applyBorder="1"/>
    <xf numFmtId="9" fontId="0" fillId="0" borderId="1" xfId="2" applyFont="1" applyFill="1" applyBorder="1"/>
    <xf numFmtId="9" fontId="0" fillId="0" borderId="2" xfId="2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0" fillId="0" borderId="5" xfId="1" applyNumberFormat="1" applyFont="1" applyBorder="1"/>
    <xf numFmtId="0" fontId="2" fillId="0" borderId="0" xfId="0" applyFont="1"/>
    <xf numFmtId="9" fontId="0" fillId="5" borderId="1" xfId="2" applyFont="1" applyFill="1" applyBorder="1"/>
    <xf numFmtId="9" fontId="0" fillId="6" borderId="1" xfId="2" applyFont="1" applyFill="1" applyBorder="1"/>
    <xf numFmtId="9" fontId="0" fillId="7" borderId="1" xfId="2" applyFont="1" applyFill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165" fontId="0" fillId="5" borderId="1" xfId="1" applyNumberFormat="1" applyFont="1" applyFill="1" applyBorder="1"/>
    <xf numFmtId="165" fontId="0" fillId="5" borderId="2" xfId="1" applyNumberFormat="1" applyFont="1" applyFill="1" applyBorder="1"/>
    <xf numFmtId="165" fontId="0" fillId="6" borderId="1" xfId="1" applyNumberFormat="1" applyFont="1" applyFill="1" applyBorder="1"/>
    <xf numFmtId="165" fontId="0" fillId="6" borderId="2" xfId="1" applyNumberFormat="1" applyFont="1" applyFill="1" applyBorder="1"/>
    <xf numFmtId="165" fontId="0" fillId="7" borderId="1" xfId="1" applyNumberFormat="1" applyFont="1" applyFill="1" applyBorder="1"/>
    <xf numFmtId="165" fontId="0" fillId="7" borderId="2" xfId="1" applyNumberFormat="1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165" fontId="0" fillId="0" borderId="1" xfId="0" applyNumberFormat="1" applyBorder="1"/>
    <xf numFmtId="0" fontId="8" fillId="0" borderId="0" xfId="0" applyFont="1"/>
    <xf numFmtId="0" fontId="0" fillId="0" borderId="1" xfId="0" applyBorder="1"/>
    <xf numFmtId="165" fontId="0" fillId="0" borderId="4" xfId="1" applyNumberFormat="1" applyFont="1" applyBorder="1"/>
    <xf numFmtId="9" fontId="0" fillId="0" borderId="1" xfId="0" applyNumberFormat="1" applyBorder="1"/>
    <xf numFmtId="0" fontId="2" fillId="0" borderId="6" xfId="0" applyFont="1" applyBorder="1" applyAlignment="1">
      <alignment horizontal="center"/>
    </xf>
    <xf numFmtId="9" fontId="9" fillId="0" borderId="1" xfId="0" applyNumberFormat="1" applyFont="1" applyBorder="1"/>
    <xf numFmtId="165" fontId="0" fillId="0" borderId="1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0" fillId="8" borderId="0" xfId="1" applyNumberFormat="1" applyFont="1" applyFill="1"/>
    <xf numFmtId="9" fontId="12" fillId="9" borderId="1" xfId="0" applyNumberFormat="1" applyFont="1" applyFill="1" applyBorder="1"/>
    <xf numFmtId="0" fontId="0" fillId="9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all</a:t>
            </a:r>
            <a:r>
              <a:rPr lang="en-US" baseline="0"/>
              <a:t> Functional Area Approved Projects Y1-Y3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1115</c:v>
                </c:pt>
                <c:pt idx="1">
                  <c:v>999</c:v>
                </c:pt>
                <c:pt idx="2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0-F643-9840-971D0C1EFAE9}"/>
            </c:ext>
          </c:extLst>
        </c:ser>
        <c:ser>
          <c:idx val="1"/>
          <c:order val="1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1518</c:v>
                </c:pt>
                <c:pt idx="1">
                  <c:v>1302</c:v>
                </c:pt>
                <c:pt idx="2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0-F643-9840-971D0C1EFAE9}"/>
            </c:ext>
          </c:extLst>
        </c:ser>
        <c:ser>
          <c:idx val="2"/>
          <c:order val="2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1850</c:v>
                </c:pt>
                <c:pt idx="1">
                  <c:v>650</c:v>
                </c:pt>
                <c:pt idx="2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0-F643-9840-971D0C1E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05663"/>
        <c:axId val="385340159"/>
      </c:lineChart>
      <c:catAx>
        <c:axId val="7779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0159"/>
        <c:crosses val="autoZero"/>
        <c:auto val="1"/>
        <c:lblAlgn val="ctr"/>
        <c:lblOffset val="100"/>
        <c:noMultiLvlLbl val="0"/>
      </c:catAx>
      <c:valAx>
        <c:axId val="3853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Capital</a:t>
            </a:r>
            <a:r>
              <a:rPr lang="en-US" baseline="0">
                <a:effectLst/>
              </a:rPr>
              <a:t> Expenditure for FA 1 Approved Projects Y1-Y3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1115</c:v>
                </c:pt>
                <c:pt idx="1">
                  <c:v>999</c:v>
                </c:pt>
                <c:pt idx="2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6347-8CA3-50DECC56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943071"/>
        <c:axId val="398807599"/>
      </c:lineChart>
      <c:catAx>
        <c:axId val="39194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07599"/>
        <c:crosses val="autoZero"/>
        <c:auto val="1"/>
        <c:lblAlgn val="ctr"/>
        <c:lblOffset val="100"/>
        <c:noMultiLvlLbl val="0"/>
      </c:catAx>
      <c:valAx>
        <c:axId val="3988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millions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2 Approved Projects Y1</a:t>
            </a:r>
            <a:r>
              <a:rPr lang="en-US" baseline="0"/>
              <a:t>-Y3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1518</c:v>
                </c:pt>
                <c:pt idx="1">
                  <c:v>1302</c:v>
                </c:pt>
                <c:pt idx="2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2-B34F-BC3E-C231F22C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866735"/>
        <c:axId val="783865295"/>
      </c:lineChart>
      <c:catAx>
        <c:axId val="78386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5295"/>
        <c:crosses val="autoZero"/>
        <c:auto val="1"/>
        <c:lblAlgn val="ctr"/>
        <c:lblOffset val="100"/>
        <c:noMultiLvlLbl val="0"/>
      </c:catAx>
      <c:valAx>
        <c:axId val="7838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3 Approved</a:t>
            </a:r>
            <a:r>
              <a:rPr lang="en-US" baseline="0"/>
              <a:t> Projects</a:t>
            </a:r>
            <a:r>
              <a:rPr lang="en-US"/>
              <a:t> Y1 - 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1850</c:v>
                </c:pt>
                <c:pt idx="1">
                  <c:v>650</c:v>
                </c:pt>
                <c:pt idx="2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1-9240-80E3-9014D246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30639"/>
        <c:axId val="721475935"/>
      </c:lineChart>
      <c:catAx>
        <c:axId val="721630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75935"/>
        <c:crosses val="autoZero"/>
        <c:auto val="1"/>
        <c:lblAlgn val="ctr"/>
        <c:lblOffset val="100"/>
        <c:noMultiLvlLbl val="0"/>
      </c:catAx>
      <c:valAx>
        <c:axId val="7214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</a:t>
                </a:r>
                <a:r>
                  <a:rPr lang="en-US" baseline="0"/>
                  <a:t> Expenditure ($ - in 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11</xdr:row>
      <xdr:rowOff>50800</xdr:rowOff>
    </xdr:from>
    <xdr:to>
      <xdr:col>11</xdr:col>
      <xdr:colOff>457200</xdr:colOff>
      <xdr:row>14</xdr:row>
      <xdr:rowOff>76200</xdr:rowOff>
    </xdr:to>
    <xdr:sp macro="" textlink="">
      <xdr:nvSpPr>
        <xdr:cNvPr id="6" name="Alternate Process 1">
          <a:extLst>
            <a:ext uri="{FF2B5EF4-FFF2-40B4-BE49-F238E27FC236}">
              <a16:creationId xmlns:a16="http://schemas.microsoft.com/office/drawing/2014/main" id="{AA8629F9-E3A4-6366-F5BC-8BCB975CFC37}"/>
            </a:ext>
          </a:extLst>
        </xdr:cNvPr>
        <xdr:cNvSpPr/>
      </xdr:nvSpPr>
      <xdr:spPr>
        <a:xfrm>
          <a:off x="8394700" y="2603500"/>
          <a:ext cx="1803400" cy="635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 0 or 1 here:</a:t>
          </a: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757766</xdr:colOff>
      <xdr:row>4</xdr:row>
      <xdr:rowOff>84667</xdr:rowOff>
    </xdr:from>
    <xdr:to>
      <xdr:col>16</xdr:col>
      <xdr:colOff>275167</xdr:colOff>
      <xdr:row>8</xdr:row>
      <xdr:rowOff>169334</xdr:rowOff>
    </xdr:to>
    <xdr:sp macro="" textlink="">
      <xdr:nvSpPr>
        <xdr:cNvPr id="104" name="Alternate Process 5">
          <a:extLst>
            <a:ext uri="{FF2B5EF4-FFF2-40B4-BE49-F238E27FC236}">
              <a16:creationId xmlns:a16="http://schemas.microsoft.com/office/drawing/2014/main" id="{AF0FFE27-93F2-354A-A68E-10C26669C9A4}"/>
            </a:ext>
          </a:extLst>
        </xdr:cNvPr>
        <xdr:cNvSpPr/>
      </xdr:nvSpPr>
      <xdr:spPr>
        <a:xfrm>
          <a:off x="15267516" y="1005417"/>
          <a:ext cx="1686984" cy="889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</a:t>
          </a:r>
          <a:r>
            <a:rPr lang="en-US" sz="1400" baseline="0"/>
            <a:t>  Discount Rate Reduction </a:t>
          </a:r>
        </a:p>
        <a:p>
          <a:pPr algn="ctr"/>
          <a:r>
            <a:rPr lang="en-US" sz="1400" baseline="0"/>
            <a:t>Here:</a:t>
          </a:r>
          <a:endParaRPr lang="en-US" sz="14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203200</xdr:colOff>
      <xdr:row>5</xdr:row>
      <xdr:rowOff>177800</xdr:rowOff>
    </xdr:from>
    <xdr:to>
      <xdr:col>14</xdr:col>
      <xdr:colOff>711200</xdr:colOff>
      <xdr:row>7</xdr:row>
      <xdr:rowOff>50800</xdr:rowOff>
    </xdr:to>
    <xdr:sp macro="" textlink="">
      <xdr:nvSpPr>
        <xdr:cNvPr id="107" name="Left Arrow 6">
          <a:extLst>
            <a:ext uri="{FF2B5EF4-FFF2-40B4-BE49-F238E27FC236}">
              <a16:creationId xmlns:a16="http://schemas.microsoft.com/office/drawing/2014/main" id="{303C219D-1F4D-857E-6BC4-F10DCBB6801E}"/>
            </a:ext>
          </a:extLst>
        </xdr:cNvPr>
        <xdr:cNvSpPr/>
      </xdr:nvSpPr>
      <xdr:spPr>
        <a:xfrm>
          <a:off x="14681200" y="1511300"/>
          <a:ext cx="508000" cy="279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444500</xdr:colOff>
      <xdr:row>14</xdr:row>
      <xdr:rowOff>127000</xdr:rowOff>
    </xdr:from>
    <xdr:to>
      <xdr:col>10</xdr:col>
      <xdr:colOff>787400</xdr:colOff>
      <xdr:row>16</xdr:row>
      <xdr:rowOff>127000</xdr:rowOff>
    </xdr:to>
    <xdr:sp macro="" textlink="">
      <xdr:nvSpPr>
        <xdr:cNvPr id="110" name="Down Arrow 7">
          <a:extLst>
            <a:ext uri="{FF2B5EF4-FFF2-40B4-BE49-F238E27FC236}">
              <a16:creationId xmlns:a16="http://schemas.microsoft.com/office/drawing/2014/main" id="{3E8519AB-3B9F-78AD-7A85-3B8ABBD57DD4}"/>
            </a:ext>
          </a:extLst>
        </xdr:cNvPr>
        <xdr:cNvSpPr/>
      </xdr:nvSpPr>
      <xdr:spPr>
        <a:xfrm>
          <a:off x="9067800" y="3289300"/>
          <a:ext cx="342900" cy="419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63500</xdr:rowOff>
    </xdr:from>
    <xdr:to>
      <xdr:col>9</xdr:col>
      <xdr:colOff>508000</xdr:colOff>
      <xdr:row>21</xdr:row>
      <xdr:rowOff>12700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E96BD978-03AD-342E-16D4-2B4AD9A3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76200</xdr:rowOff>
    </xdr:from>
    <xdr:to>
      <xdr:col>20</xdr:col>
      <xdr:colOff>0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11E9E-7C0A-77E7-E171-BD10978F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22</xdr:row>
      <xdr:rowOff>165100</xdr:rowOff>
    </xdr:from>
    <xdr:to>
      <xdr:col>9</xdr:col>
      <xdr:colOff>508000</xdr:colOff>
      <xdr:row>44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4F4FC-11F5-13F2-40E2-0C83110E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12700</xdr:colOff>
      <xdr:row>23</xdr:row>
      <xdr:rowOff>12700</xdr:rowOff>
    </xdr:from>
    <xdr:to>
      <xdr:col>20</xdr:col>
      <xdr:colOff>76200</xdr:colOff>
      <xdr:row>44</xdr:row>
      <xdr:rowOff>0</xdr:rowOff>
    </xdr:to>
    <xdr:graphicFrame macro="">
      <xdr:nvGraphicFramePr>
        <xdr:cNvPr id="154" name="Chart 4">
          <a:extLst>
            <a:ext uri="{FF2B5EF4-FFF2-40B4-BE49-F238E27FC236}">
              <a16:creationId xmlns:a16="http://schemas.microsoft.com/office/drawing/2014/main" id="{29997628-D3FC-CA76-516E-DA1ECE10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A0B-B6E7-45D6-BAB6-F3953091B4B4}">
  <dimension ref="A1:Q49"/>
  <sheetViews>
    <sheetView tabSelected="1" topLeftCell="A9" zoomScale="80" zoomScaleNormal="80" workbookViewId="0">
      <selection activeCell="L22" sqref="L22"/>
    </sheetView>
  </sheetViews>
  <sheetFormatPr defaultColWidth="8.796875" defaultRowHeight="15.6"/>
  <cols>
    <col min="1" max="1" width="12" bestFit="1" customWidth="1"/>
    <col min="2" max="2" width="14" bestFit="1" customWidth="1"/>
    <col min="3" max="3" width="14.296875" customWidth="1"/>
    <col min="4" max="4" width="12.5" customWidth="1"/>
    <col min="5" max="5" width="12" bestFit="1" customWidth="1"/>
    <col min="6" max="6" width="11.69921875" bestFit="1" customWidth="1"/>
    <col min="7" max="7" width="11.796875" bestFit="1" customWidth="1"/>
    <col min="8" max="8" width="9" bestFit="1" customWidth="1"/>
    <col min="9" max="9" width="9.8984375" bestFit="1" customWidth="1"/>
    <col min="10" max="10" width="7.19921875" customWidth="1"/>
    <col min="11" max="11" width="14.69921875" bestFit="1" customWidth="1"/>
    <col min="12" max="12" width="9.69921875" customWidth="1"/>
    <col min="13" max="13" width="34" bestFit="1" customWidth="1"/>
    <col min="14" max="14" width="18.5" bestFit="1" customWidth="1"/>
    <col min="15" max="15" width="14.19921875" customWidth="1"/>
    <col min="16" max="16" width="14.296875" customWidth="1"/>
  </cols>
  <sheetData>
    <row r="1" spans="1:16" ht="21">
      <c r="A1" s="52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6">
      <c r="A2" s="15" t="s">
        <v>24</v>
      </c>
    </row>
    <row r="3" spans="1:16"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20" t="s">
        <v>5</v>
      </c>
      <c r="H3" s="19" t="s">
        <v>6</v>
      </c>
      <c r="I3" s="15"/>
      <c r="J3" s="15"/>
      <c r="M3" s="54" t="s">
        <v>22</v>
      </c>
      <c r="N3" s="54"/>
    </row>
    <row r="4" spans="1:16" ht="20.399999999999999">
      <c r="B4" s="22">
        <v>1</v>
      </c>
      <c r="C4" s="23" t="s">
        <v>8</v>
      </c>
      <c r="D4" s="16">
        <v>1</v>
      </c>
      <c r="E4" s="28">
        <v>250</v>
      </c>
      <c r="F4" s="28">
        <v>100</v>
      </c>
      <c r="G4" s="29">
        <v>100</v>
      </c>
      <c r="H4" s="23">
        <v>60</v>
      </c>
      <c r="M4" s="34" t="s">
        <v>20</v>
      </c>
      <c r="N4" s="35">
        <v>50000</v>
      </c>
      <c r="P4" s="37"/>
    </row>
    <row r="5" spans="1:16">
      <c r="B5" s="22">
        <v>2</v>
      </c>
      <c r="C5" s="23" t="s">
        <v>8</v>
      </c>
      <c r="D5" s="16">
        <v>0.33</v>
      </c>
      <c r="E5" s="28">
        <v>500</v>
      </c>
      <c r="F5" s="28">
        <v>300</v>
      </c>
      <c r="G5" s="29">
        <v>300</v>
      </c>
      <c r="H5" s="23">
        <v>180</v>
      </c>
      <c r="M5" s="34" t="s">
        <v>21</v>
      </c>
      <c r="N5" s="35">
        <v>10000</v>
      </c>
    </row>
    <row r="6" spans="1:16">
      <c r="B6" s="22">
        <v>3</v>
      </c>
      <c r="C6" s="23" t="s">
        <v>8</v>
      </c>
      <c r="D6" s="16">
        <v>0.5</v>
      </c>
      <c r="E6" s="28">
        <v>100</v>
      </c>
      <c r="F6" s="28">
        <v>200</v>
      </c>
      <c r="G6" s="29">
        <v>400</v>
      </c>
      <c r="H6" s="23">
        <v>80</v>
      </c>
      <c r="M6" s="34" t="s">
        <v>23</v>
      </c>
      <c r="N6" s="35">
        <v>4000</v>
      </c>
    </row>
    <row r="7" spans="1:16">
      <c r="B7" s="22">
        <v>4</v>
      </c>
      <c r="C7" s="23" t="s">
        <v>8</v>
      </c>
      <c r="D7" s="16">
        <v>1</v>
      </c>
      <c r="E7" s="28">
        <v>750</v>
      </c>
      <c r="F7" s="28">
        <v>500</v>
      </c>
      <c r="G7" s="29">
        <v>300</v>
      </c>
      <c r="H7" s="23">
        <v>310</v>
      </c>
      <c r="M7" s="34" t="s">
        <v>49</v>
      </c>
      <c r="N7" s="49">
        <v>0.12</v>
      </c>
    </row>
    <row r="8" spans="1:16">
      <c r="B8" s="22">
        <v>5</v>
      </c>
      <c r="C8" s="23" t="s">
        <v>8</v>
      </c>
      <c r="D8" s="16">
        <v>0.75</v>
      </c>
      <c r="E8" s="28">
        <v>200</v>
      </c>
      <c r="F8" s="28">
        <v>400</v>
      </c>
      <c r="G8" s="29">
        <v>800</v>
      </c>
      <c r="H8" s="23">
        <v>220</v>
      </c>
    </row>
    <row r="9" spans="1:16">
      <c r="B9" s="24">
        <v>6</v>
      </c>
      <c r="C9" s="25" t="s">
        <v>9</v>
      </c>
      <c r="D9" s="17">
        <v>0.5</v>
      </c>
      <c r="E9" s="30">
        <v>1000</v>
      </c>
      <c r="F9" s="30">
        <v>300</v>
      </c>
      <c r="G9" s="31">
        <v>300</v>
      </c>
      <c r="H9" s="25">
        <v>180</v>
      </c>
      <c r="M9" s="56" t="s">
        <v>12</v>
      </c>
      <c r="N9" s="57"/>
    </row>
    <row r="10" spans="1:16">
      <c r="B10" s="24">
        <v>7</v>
      </c>
      <c r="C10" s="25" t="s">
        <v>9</v>
      </c>
      <c r="D10" s="17">
        <v>1</v>
      </c>
      <c r="E10" s="30">
        <v>750</v>
      </c>
      <c r="F10" s="30">
        <v>750</v>
      </c>
      <c r="G10" s="31">
        <v>300</v>
      </c>
      <c r="H10" s="25">
        <v>410</v>
      </c>
      <c r="M10" s="38" t="s">
        <v>13</v>
      </c>
      <c r="N10" s="38">
        <f>IF(D38&lt;4000,1,0)</f>
        <v>0</v>
      </c>
    </row>
    <row r="11" spans="1:16">
      <c r="B11" s="24">
        <v>8</v>
      </c>
      <c r="C11" s="25" t="s">
        <v>9</v>
      </c>
      <c r="D11" s="17">
        <v>1</v>
      </c>
      <c r="E11" s="30">
        <v>800</v>
      </c>
      <c r="F11" s="30">
        <v>700</v>
      </c>
      <c r="G11" s="31">
        <v>600</v>
      </c>
      <c r="H11" s="25">
        <v>280</v>
      </c>
      <c r="M11" s="38" t="s">
        <v>14</v>
      </c>
      <c r="N11" s="38">
        <f>IF(E38&lt;4000,1,0)</f>
        <v>1</v>
      </c>
    </row>
    <row r="12" spans="1:16">
      <c r="B12" s="24">
        <v>9</v>
      </c>
      <c r="C12" s="25" t="s">
        <v>9</v>
      </c>
      <c r="D12" s="17">
        <v>0.67</v>
      </c>
      <c r="E12" s="30">
        <v>400</v>
      </c>
      <c r="F12" s="30">
        <v>600</v>
      </c>
      <c r="G12" s="31">
        <v>800</v>
      </c>
      <c r="H12" s="25">
        <v>380</v>
      </c>
      <c r="M12" s="38" t="s">
        <v>15</v>
      </c>
      <c r="N12" s="38">
        <f>IF(F38&lt;4000,1,0)</f>
        <v>1</v>
      </c>
    </row>
    <row r="13" spans="1:16">
      <c r="B13" s="26">
        <v>10</v>
      </c>
      <c r="C13" s="27" t="s">
        <v>10</v>
      </c>
      <c r="D13" s="18">
        <v>1</v>
      </c>
      <c r="E13" s="32">
        <v>100</v>
      </c>
      <c r="F13" s="32">
        <v>200</v>
      </c>
      <c r="G13" s="33">
        <v>400</v>
      </c>
      <c r="H13" s="27">
        <v>100</v>
      </c>
      <c r="M13" s="38" t="s">
        <v>16</v>
      </c>
      <c r="N13" s="38">
        <f>IF(G38&lt;10000,1,0)</f>
        <v>0</v>
      </c>
    </row>
    <row r="14" spans="1:16">
      <c r="B14" s="26">
        <v>11</v>
      </c>
      <c r="C14" s="27" t="s">
        <v>10</v>
      </c>
      <c r="D14" s="18">
        <v>0.5</v>
      </c>
      <c r="E14" s="32">
        <v>700</v>
      </c>
      <c r="F14" s="32">
        <v>500</v>
      </c>
      <c r="G14" s="33">
        <v>300</v>
      </c>
      <c r="H14" s="27">
        <v>260</v>
      </c>
      <c r="M14" s="38" t="s">
        <v>47</v>
      </c>
      <c r="N14" s="38">
        <f>IF(AND(N15&gt;=1,N16&gt;=1,N17&gt;=1),1,0)</f>
        <v>1</v>
      </c>
      <c r="O14" s="38"/>
    </row>
    <row r="15" spans="1:16">
      <c r="B15" s="26">
        <v>12</v>
      </c>
      <c r="C15" s="27" t="s">
        <v>10</v>
      </c>
      <c r="D15" s="18">
        <v>1</v>
      </c>
      <c r="E15" s="32">
        <v>1500</v>
      </c>
      <c r="F15" s="32">
        <v>400</v>
      </c>
      <c r="G15" s="33">
        <v>400</v>
      </c>
      <c r="H15" s="27">
        <v>340</v>
      </c>
      <c r="M15" s="38" t="s">
        <v>26</v>
      </c>
      <c r="N15" s="38">
        <f>SUM(K19:K23)</f>
        <v>4</v>
      </c>
      <c r="O15" s="44"/>
    </row>
    <row r="16" spans="1:16" ht="16.95" customHeight="1">
      <c r="M16" s="38" t="s">
        <v>27</v>
      </c>
      <c r="N16" s="38">
        <f>SUM(K26:K29)</f>
        <v>3</v>
      </c>
      <c r="O16" s="44"/>
    </row>
    <row r="17" spans="1:17">
      <c r="D17" s="59" t="s">
        <v>50</v>
      </c>
      <c r="E17" s="59"/>
      <c r="F17" s="59"/>
      <c r="G17" s="59"/>
      <c r="M17" s="38" t="s">
        <v>28</v>
      </c>
      <c r="N17" s="38">
        <f>SUM(K32:K34)</f>
        <v>2</v>
      </c>
      <c r="O17" s="44"/>
    </row>
    <row r="18" spans="1:17">
      <c r="A18" s="11" t="s">
        <v>0</v>
      </c>
      <c r="B18" s="12" t="s">
        <v>1</v>
      </c>
      <c r="C18" s="12" t="s">
        <v>2</v>
      </c>
      <c r="D18" s="12" t="s">
        <v>18</v>
      </c>
      <c r="E18" s="12" t="s">
        <v>17</v>
      </c>
      <c r="F18" s="13" t="s">
        <v>19</v>
      </c>
      <c r="G18" s="12" t="s">
        <v>11</v>
      </c>
      <c r="H18" s="13" t="s">
        <v>6</v>
      </c>
      <c r="I18" s="12" t="s">
        <v>25</v>
      </c>
      <c r="J18" s="12" t="s">
        <v>30</v>
      </c>
      <c r="K18" s="41" t="s">
        <v>7</v>
      </c>
      <c r="M18" s="38" t="s">
        <v>29</v>
      </c>
      <c r="N18" s="38">
        <f>SUM(N15:N17)</f>
        <v>9</v>
      </c>
    </row>
    <row r="19" spans="1:17">
      <c r="A19" s="7">
        <v>1</v>
      </c>
      <c r="B19" s="8" t="s">
        <v>8</v>
      </c>
      <c r="C19" s="2">
        <v>1</v>
      </c>
      <c r="D19" s="5">
        <f>E4*C19</f>
        <v>250</v>
      </c>
      <c r="E19" s="5">
        <f>F4*C19</f>
        <v>100</v>
      </c>
      <c r="F19" s="6">
        <f>G4*C19</f>
        <v>100</v>
      </c>
      <c r="G19" s="6">
        <f>SUM(D19,E19,F19)</f>
        <v>450</v>
      </c>
      <c r="H19" s="6">
        <f>H4</f>
        <v>60</v>
      </c>
      <c r="I19" s="5">
        <f>H19*(1-$N$7)</f>
        <v>52.8</v>
      </c>
      <c r="J19" s="2" t="str">
        <f>IF(K19=0,"",I19/SUM(E4:G4))</f>
        <v/>
      </c>
      <c r="K19" s="50">
        <v>0</v>
      </c>
    </row>
    <row r="20" spans="1:17">
      <c r="A20" s="7">
        <v>2</v>
      </c>
      <c r="B20" s="8" t="s">
        <v>8</v>
      </c>
      <c r="C20" s="2">
        <v>0.33</v>
      </c>
      <c r="D20" s="5">
        <f>E5*C20</f>
        <v>165</v>
      </c>
      <c r="E20" s="5">
        <f t="shared" ref="E20:E23" si="0">F5*C20</f>
        <v>99</v>
      </c>
      <c r="F20" s="6">
        <f t="shared" ref="F20:F23" si="1">G5*C20</f>
        <v>99</v>
      </c>
      <c r="G20" s="6">
        <f>SUM(D20,E20,F20)</f>
        <v>363</v>
      </c>
      <c r="H20" s="6">
        <f t="shared" ref="H20:H23" si="2">H5</f>
        <v>180</v>
      </c>
      <c r="I20" s="5">
        <f t="shared" ref="I20:I23" si="3">H20*(1-$N$7)</f>
        <v>158.4</v>
      </c>
      <c r="J20" s="2">
        <f t="shared" ref="J20:J23" si="4">IF(K20=0,"",I20/SUM(E5:G5))</f>
        <v>0.14400000000000002</v>
      </c>
      <c r="K20" s="50">
        <v>1</v>
      </c>
      <c r="M20" s="12" t="s">
        <v>36</v>
      </c>
      <c r="N20" s="19">
        <f>IF(SUM(N10:N14)=5,1,0)</f>
        <v>0</v>
      </c>
    </row>
    <row r="21" spans="1:17">
      <c r="A21" s="7">
        <v>3</v>
      </c>
      <c r="B21" s="8" t="s">
        <v>8</v>
      </c>
      <c r="C21" s="2">
        <v>0.5</v>
      </c>
      <c r="D21" s="5">
        <f t="shared" ref="D21:D23" si="5">E6*C21</f>
        <v>50</v>
      </c>
      <c r="E21" s="5">
        <f t="shared" si="0"/>
        <v>100</v>
      </c>
      <c r="F21" s="6">
        <f t="shared" si="1"/>
        <v>200</v>
      </c>
      <c r="G21" s="6">
        <f t="shared" ref="G21:G34" si="6">SUM(D21,E21,F21)</f>
        <v>350</v>
      </c>
      <c r="H21" s="6">
        <f t="shared" si="2"/>
        <v>80</v>
      </c>
      <c r="I21" s="5">
        <f t="shared" si="3"/>
        <v>70.400000000000006</v>
      </c>
      <c r="J21" s="2">
        <f t="shared" si="4"/>
        <v>0.10057142857142858</v>
      </c>
      <c r="K21" s="50">
        <v>1</v>
      </c>
    </row>
    <row r="22" spans="1:17">
      <c r="A22" s="7">
        <v>4</v>
      </c>
      <c r="B22" s="8" t="s">
        <v>8</v>
      </c>
      <c r="C22" s="3">
        <v>1</v>
      </c>
      <c r="D22" s="5">
        <f t="shared" si="5"/>
        <v>750</v>
      </c>
      <c r="E22" s="5">
        <f t="shared" si="0"/>
        <v>500</v>
      </c>
      <c r="F22" s="6">
        <f t="shared" si="1"/>
        <v>300</v>
      </c>
      <c r="G22" s="6">
        <f t="shared" si="6"/>
        <v>1550</v>
      </c>
      <c r="H22" s="6">
        <f t="shared" si="2"/>
        <v>310</v>
      </c>
      <c r="I22" s="5">
        <f t="shared" si="3"/>
        <v>272.8</v>
      </c>
      <c r="J22" s="2">
        <f t="shared" si="4"/>
        <v>0.17600000000000002</v>
      </c>
      <c r="K22" s="50">
        <v>1</v>
      </c>
    </row>
    <row r="23" spans="1:17">
      <c r="A23" s="7">
        <v>5</v>
      </c>
      <c r="B23" s="8" t="s">
        <v>8</v>
      </c>
      <c r="C23" s="4">
        <v>0.75</v>
      </c>
      <c r="D23" s="5">
        <f t="shared" si="5"/>
        <v>150</v>
      </c>
      <c r="E23" s="5">
        <f t="shared" si="0"/>
        <v>300</v>
      </c>
      <c r="F23" s="6">
        <f t="shared" si="1"/>
        <v>600</v>
      </c>
      <c r="G23" s="5">
        <f t="shared" si="6"/>
        <v>1050</v>
      </c>
      <c r="H23" s="6">
        <f t="shared" si="2"/>
        <v>220</v>
      </c>
      <c r="I23" s="5">
        <f t="shared" si="3"/>
        <v>193.6</v>
      </c>
      <c r="J23" s="2">
        <f t="shared" si="4"/>
        <v>0.13828571428571429</v>
      </c>
      <c r="K23" s="50">
        <v>1</v>
      </c>
    </row>
    <row r="24" spans="1:17">
      <c r="C24" s="45" t="s">
        <v>37</v>
      </c>
      <c r="D24" s="43">
        <f>SUMPRODUCT(D19:D23,K19:K23)</f>
        <v>1115</v>
      </c>
      <c r="E24" s="43">
        <f>SUMPRODUCT(E19:E23,K19:K23)</f>
        <v>999</v>
      </c>
      <c r="F24" s="43">
        <f>SUMPRODUCT(F19:F23,K19:K23)</f>
        <v>1199</v>
      </c>
      <c r="G24" s="43">
        <f t="shared" si="6"/>
        <v>3313</v>
      </c>
      <c r="K24" s="44"/>
      <c r="O24" s="51" t="s">
        <v>41</v>
      </c>
      <c r="P24" s="51"/>
      <c r="Q24" s="51"/>
    </row>
    <row r="25" spans="1:17">
      <c r="K25" s="44"/>
      <c r="N25" s="38"/>
      <c r="O25" s="46" t="s">
        <v>42</v>
      </c>
      <c r="P25" s="46" t="s">
        <v>43</v>
      </c>
      <c r="Q25" s="46" t="s">
        <v>44</v>
      </c>
    </row>
    <row r="26" spans="1:17">
      <c r="A26" s="7">
        <v>6</v>
      </c>
      <c r="B26" s="9" t="s">
        <v>9</v>
      </c>
      <c r="C26" s="2">
        <v>0.5</v>
      </c>
      <c r="D26" s="5">
        <f>E9*C26</f>
        <v>500</v>
      </c>
      <c r="E26" s="5">
        <f>F9*C26</f>
        <v>150</v>
      </c>
      <c r="F26" s="6">
        <f>G9*C26</f>
        <v>150</v>
      </c>
      <c r="G26" s="6">
        <f t="shared" si="6"/>
        <v>800</v>
      </c>
      <c r="H26" s="6">
        <f>H9</f>
        <v>180</v>
      </c>
      <c r="I26" s="5">
        <f>H26*(1-$N$7)</f>
        <v>158.4</v>
      </c>
      <c r="J26" s="2">
        <f>IF(K26=0,"",I26/SUM(E9:G9))</f>
        <v>9.9000000000000005E-2</v>
      </c>
      <c r="K26" s="50">
        <v>1</v>
      </c>
      <c r="M26" s="58" t="s">
        <v>45</v>
      </c>
      <c r="N26" s="46" t="s">
        <v>40</v>
      </c>
      <c r="O26" s="36">
        <f>D24</f>
        <v>1115</v>
      </c>
      <c r="P26" s="36">
        <f>E24</f>
        <v>999</v>
      </c>
      <c r="Q26" s="36">
        <f>F24</f>
        <v>1199</v>
      </c>
    </row>
    <row r="27" spans="1:17">
      <c r="A27" s="7">
        <v>7</v>
      </c>
      <c r="B27" s="9" t="s">
        <v>9</v>
      </c>
      <c r="C27" s="2">
        <v>1</v>
      </c>
      <c r="D27" s="5">
        <f>E10*C27</f>
        <v>750</v>
      </c>
      <c r="E27" s="5">
        <f>F10*C27</f>
        <v>750</v>
      </c>
      <c r="F27" s="6">
        <f>G10*C27</f>
        <v>300</v>
      </c>
      <c r="G27" s="6">
        <f t="shared" si="6"/>
        <v>1800</v>
      </c>
      <c r="H27" s="6">
        <f t="shared" ref="H27:H29" si="7">H10</f>
        <v>410</v>
      </c>
      <c r="I27" s="5">
        <f t="shared" ref="I27:I29" si="8">H27*(1-$N$7)</f>
        <v>360.8</v>
      </c>
      <c r="J27" s="2">
        <f t="shared" ref="J27:J29" si="9">IF(K27=0,"",I27/SUM(E10:G10))</f>
        <v>0.20044444444444445</v>
      </c>
      <c r="K27" s="50">
        <v>1</v>
      </c>
      <c r="M27" s="58"/>
      <c r="N27" s="46" t="s">
        <v>9</v>
      </c>
      <c r="O27" s="36">
        <f>D30</f>
        <v>1518</v>
      </c>
      <c r="P27" s="36">
        <f>E30</f>
        <v>1302</v>
      </c>
      <c r="Q27" s="36">
        <f>F30</f>
        <v>986</v>
      </c>
    </row>
    <row r="28" spans="1:17">
      <c r="A28" s="7">
        <v>8</v>
      </c>
      <c r="B28" s="9" t="s">
        <v>9</v>
      </c>
      <c r="C28" s="2">
        <v>1</v>
      </c>
      <c r="D28" s="5">
        <f>E11*C28</f>
        <v>800</v>
      </c>
      <c r="E28" s="5">
        <f>F11*C28</f>
        <v>700</v>
      </c>
      <c r="F28" s="6">
        <f>G11*C28</f>
        <v>600</v>
      </c>
      <c r="G28" s="6">
        <f t="shared" si="6"/>
        <v>2100</v>
      </c>
      <c r="H28" s="6">
        <f t="shared" si="7"/>
        <v>280</v>
      </c>
      <c r="I28" s="5">
        <f t="shared" si="8"/>
        <v>246.4</v>
      </c>
      <c r="J28" s="2" t="str">
        <f t="shared" si="9"/>
        <v/>
      </c>
      <c r="K28" s="50">
        <v>0</v>
      </c>
      <c r="M28" s="58"/>
      <c r="N28" s="46" t="s">
        <v>10</v>
      </c>
      <c r="O28" s="36">
        <f>D35</f>
        <v>1850</v>
      </c>
      <c r="P28" s="36">
        <f>E35</f>
        <v>650</v>
      </c>
      <c r="Q28" s="36">
        <f>F35</f>
        <v>550</v>
      </c>
    </row>
    <row r="29" spans="1:17">
      <c r="A29" s="7">
        <v>9</v>
      </c>
      <c r="B29" s="9" t="s">
        <v>9</v>
      </c>
      <c r="C29" s="2">
        <v>0.67</v>
      </c>
      <c r="D29" s="5">
        <f>E12*C29</f>
        <v>268</v>
      </c>
      <c r="E29" s="5">
        <f>F12*C29</f>
        <v>402</v>
      </c>
      <c r="F29" s="6">
        <f>G12*C29</f>
        <v>536</v>
      </c>
      <c r="G29" s="6">
        <f t="shared" si="6"/>
        <v>1206</v>
      </c>
      <c r="H29" s="6">
        <f t="shared" si="7"/>
        <v>380</v>
      </c>
      <c r="I29" s="5">
        <f t="shared" si="8"/>
        <v>334.4</v>
      </c>
      <c r="J29" s="2">
        <f t="shared" si="9"/>
        <v>0.18577777777777776</v>
      </c>
      <c r="K29" s="50">
        <v>1</v>
      </c>
    </row>
    <row r="30" spans="1:17">
      <c r="C30" s="45" t="s">
        <v>38</v>
      </c>
      <c r="D30" s="43">
        <f>SUMPRODUCT(D26:D29,$K$26:$K$29)</f>
        <v>1518</v>
      </c>
      <c r="E30" s="43">
        <f t="shared" ref="E30:F30" si="10">SUMPRODUCT(E26:E29,$K$26:$K$29)</f>
        <v>1302</v>
      </c>
      <c r="F30" s="43">
        <f t="shared" si="10"/>
        <v>986</v>
      </c>
      <c r="G30" s="36">
        <f>SUM(D30:F30)</f>
        <v>3806</v>
      </c>
      <c r="K30" s="44"/>
    </row>
    <row r="31" spans="1:17">
      <c r="K31" s="44"/>
    </row>
    <row r="32" spans="1:17">
      <c r="A32" s="7">
        <v>10</v>
      </c>
      <c r="B32" s="10" t="s">
        <v>10</v>
      </c>
      <c r="C32" s="2">
        <v>1</v>
      </c>
      <c r="D32" s="5">
        <f>E13*C32</f>
        <v>100</v>
      </c>
      <c r="E32" s="5">
        <f>F13*C32</f>
        <v>200</v>
      </c>
      <c r="F32" s="6">
        <f>G13*C32</f>
        <v>400</v>
      </c>
      <c r="G32" s="6">
        <f t="shared" si="6"/>
        <v>700</v>
      </c>
      <c r="H32" s="39">
        <f>H13</f>
        <v>100</v>
      </c>
      <c r="I32" s="5">
        <f>H32*(1-$N$7)</f>
        <v>88</v>
      </c>
      <c r="J32" s="2" t="str">
        <f>IF(K32=0,"",I32/SUM(E13:G13))</f>
        <v/>
      </c>
      <c r="K32" s="50">
        <v>0</v>
      </c>
    </row>
    <row r="33" spans="1:11">
      <c r="A33" s="7">
        <v>11</v>
      </c>
      <c r="B33" s="10" t="s">
        <v>10</v>
      </c>
      <c r="C33" s="2">
        <v>0.5</v>
      </c>
      <c r="D33" s="5">
        <f>E14*C33</f>
        <v>350</v>
      </c>
      <c r="E33" s="5">
        <f>F14*C33</f>
        <v>250</v>
      </c>
      <c r="F33" s="6">
        <f>G14*C33</f>
        <v>150</v>
      </c>
      <c r="G33" s="6">
        <f t="shared" si="6"/>
        <v>750</v>
      </c>
      <c r="H33" s="39">
        <f t="shared" ref="H33:H34" si="11">H14</f>
        <v>260</v>
      </c>
      <c r="I33" s="5">
        <f t="shared" ref="I33" si="12">H33*(1-$N$7)</f>
        <v>228.8</v>
      </c>
      <c r="J33" s="2">
        <f t="shared" ref="J33:J34" si="13">IF(K33=0,"",I33/SUM(E14:G14))</f>
        <v>0.15253333333333335</v>
      </c>
      <c r="K33" s="50">
        <v>1</v>
      </c>
    </row>
    <row r="34" spans="1:11">
      <c r="A34" s="7">
        <v>12</v>
      </c>
      <c r="B34" s="10" t="s">
        <v>10</v>
      </c>
      <c r="C34" s="2">
        <v>1</v>
      </c>
      <c r="D34" s="5">
        <f>E15*C34</f>
        <v>1500</v>
      </c>
      <c r="E34" s="5">
        <f>F15*C34</f>
        <v>400</v>
      </c>
      <c r="F34" s="6">
        <f>G15*C34</f>
        <v>400</v>
      </c>
      <c r="G34" s="6">
        <f t="shared" si="6"/>
        <v>2300</v>
      </c>
      <c r="H34" s="39">
        <f t="shared" si="11"/>
        <v>340</v>
      </c>
      <c r="I34" s="5">
        <f>H34*(1-$N$7)</f>
        <v>299.2</v>
      </c>
      <c r="J34" s="2">
        <f t="shared" si="13"/>
        <v>0.13008695652173913</v>
      </c>
      <c r="K34" s="50">
        <v>1</v>
      </c>
    </row>
    <row r="35" spans="1:11">
      <c r="C35" s="45" t="s">
        <v>39</v>
      </c>
      <c r="D35" s="5">
        <f>SUMPRODUCT(D32:D34,$K$32:$K$34)</f>
        <v>1850</v>
      </c>
      <c r="E35" s="5">
        <f t="shared" ref="E35:F35" si="14">SUMPRODUCT(E32:E34,$K$32:$K$34)</f>
        <v>650</v>
      </c>
      <c r="F35" s="5">
        <f t="shared" si="14"/>
        <v>550</v>
      </c>
      <c r="G35" s="5">
        <f>SUM(D35:F35)</f>
        <v>3050</v>
      </c>
    </row>
    <row r="36" spans="1:11">
      <c r="F36" s="1"/>
      <c r="G36" s="1"/>
    </row>
    <row r="37" spans="1:11">
      <c r="D37" s="12" t="s">
        <v>18</v>
      </c>
      <c r="E37" s="12" t="s">
        <v>17</v>
      </c>
      <c r="F37" s="13" t="s">
        <v>19</v>
      </c>
      <c r="G37" s="12" t="s">
        <v>11</v>
      </c>
      <c r="I37" s="47" t="s">
        <v>51</v>
      </c>
    </row>
    <row r="38" spans="1:11">
      <c r="C38" s="45" t="s">
        <v>48</v>
      </c>
      <c r="D38" s="14">
        <f>SUMPRODUCT(D19:D23,$K$19:$K$23)+SUMPRODUCT(D26:D29,$K$26:$K$29)+SUMPRODUCT(D32:D34,$K$32:$K$34)</f>
        <v>4483</v>
      </c>
      <c r="E38" s="14">
        <f>SUMPRODUCT(E19:E23,$K$19:$K$23)+SUMPRODUCT(E26:E29,$K$26:$K$29)+SUMPRODUCT(E32:E34,$K$32:$K$34)</f>
        <v>2951</v>
      </c>
      <c r="F38" s="14">
        <f t="shared" ref="F38" si="15">SUMPRODUCT(F19:F23,$K$19:$K$23)+SUMPRODUCT(F26:F29,$K$26:$K$29)+SUMPRODUCT(F32:F34,$K$32:$K$34)</f>
        <v>2735</v>
      </c>
      <c r="G38" s="14">
        <f>SUM(D38:F38)</f>
        <v>10169</v>
      </c>
      <c r="I38" s="48">
        <f>SUMPRODUCT(I19:I34,K19:K34)</f>
        <v>2076.8000000000002</v>
      </c>
    </row>
    <row r="40" spans="1:11">
      <c r="E40" s="55" t="s">
        <v>32</v>
      </c>
      <c r="F40" s="55"/>
      <c r="G40" s="55"/>
    </row>
    <row r="41" spans="1:11">
      <c r="D41" s="12" t="s">
        <v>31</v>
      </c>
      <c r="E41" s="12" t="s">
        <v>33</v>
      </c>
      <c r="F41" s="12" t="s">
        <v>34</v>
      </c>
      <c r="G41" s="12" t="s">
        <v>35</v>
      </c>
    </row>
    <row r="42" spans="1:11">
      <c r="D42" s="40"/>
      <c r="E42" s="42">
        <f>AVERAGE(J19:J34)</f>
        <v>0.14741107277049306</v>
      </c>
      <c r="F42" s="42">
        <f>MIN(J19:J34)</f>
        <v>9.9000000000000005E-2</v>
      </c>
      <c r="G42" s="42">
        <f>MAX(J19:J34)</f>
        <v>0.20044444444444445</v>
      </c>
    </row>
    <row r="43" spans="1:11">
      <c r="D43" s="2">
        <v>0</v>
      </c>
      <c r="E43" s="2">
        <f t="dataTable" ref="E43:G49" dt2D="0" dtr="0" r1="N7"/>
        <v>0.16751258269374214</v>
      </c>
      <c r="F43" s="2">
        <v>0.1125</v>
      </c>
      <c r="G43" s="2">
        <v>0.22777777777777777</v>
      </c>
    </row>
    <row r="44" spans="1:11">
      <c r="D44" s="2">
        <v>0.05</v>
      </c>
      <c r="E44" s="2">
        <v>0.15913695355905499</v>
      </c>
      <c r="F44" s="2">
        <v>0.106875</v>
      </c>
      <c r="G44" s="2">
        <v>0.21638888888888888</v>
      </c>
    </row>
    <row r="45" spans="1:11">
      <c r="D45" s="2">
        <v>0.1</v>
      </c>
      <c r="E45" s="2">
        <v>0.1507613244243679</v>
      </c>
      <c r="F45" s="2">
        <v>0.10125000000000001</v>
      </c>
      <c r="G45" s="2">
        <v>0.20499999999999999</v>
      </c>
    </row>
    <row r="46" spans="1:11">
      <c r="D46" s="2">
        <v>0.15</v>
      </c>
      <c r="E46" s="2">
        <v>0.14238569528968081</v>
      </c>
      <c r="F46" s="2">
        <v>9.5625000000000002E-2</v>
      </c>
      <c r="G46" s="2">
        <v>0.19361111111111112</v>
      </c>
    </row>
    <row r="47" spans="1:11">
      <c r="D47" s="2">
        <v>0.2</v>
      </c>
      <c r="E47" s="2">
        <v>0.1340100661549937</v>
      </c>
      <c r="F47" s="2">
        <v>0.09</v>
      </c>
      <c r="G47" s="2">
        <v>0.18222222222222223</v>
      </c>
    </row>
    <row r="48" spans="1:11">
      <c r="D48" s="2">
        <v>0.25</v>
      </c>
      <c r="E48" s="2">
        <v>0.12563443702030658</v>
      </c>
      <c r="F48" s="2">
        <v>8.4375000000000006E-2</v>
      </c>
      <c r="G48" s="2">
        <v>0.17083333333333334</v>
      </c>
    </row>
    <row r="49" spans="4:7">
      <c r="D49" s="2">
        <v>0.3</v>
      </c>
      <c r="E49" s="2">
        <v>0.11725880788561947</v>
      </c>
      <c r="F49" s="2">
        <v>7.8749999999999987E-2</v>
      </c>
      <c r="G49" s="2">
        <v>0.15944444444444444</v>
      </c>
    </row>
  </sheetData>
  <mergeCells count="7">
    <mergeCell ref="O24:Q24"/>
    <mergeCell ref="A1:L1"/>
    <mergeCell ref="M3:N3"/>
    <mergeCell ref="E40:G40"/>
    <mergeCell ref="M9:N9"/>
    <mergeCell ref="M26:M28"/>
    <mergeCell ref="D17:G17"/>
  </mergeCells>
  <conditionalFormatting sqref="D38:F38">
    <cfRule type="cellIs" dxfId="10" priority="9" operator="greaterThan">
      <formula>4000</formula>
    </cfRule>
    <cfRule type="cellIs" dxfId="9" priority="10" operator="lessThan">
      <formula>4000</formula>
    </cfRule>
  </conditionalFormatting>
  <conditionalFormatting sqref="G38">
    <cfRule type="cellIs" dxfId="8" priority="1" operator="greaterThan">
      <formula>10000</formula>
    </cfRule>
    <cfRule type="cellIs" dxfId="7" priority="2" operator="lessThan">
      <formula>10000</formula>
    </cfRule>
  </conditionalFormatting>
  <conditionalFormatting sqref="H26:H29 H32:H34">
    <cfRule type="cellIs" dxfId="6" priority="33" operator="equal">
      <formula>MIN($K$19:$K$29)</formula>
    </cfRule>
    <cfRule type="cellIs" dxfId="5" priority="34" operator="equal">
      <formula>MAX($K$19:$K$29)</formula>
    </cfRule>
  </conditionalFormatting>
  <conditionalFormatting sqref="M20:N20">
    <cfRule type="cellIs" dxfId="4" priority="3" operator="lessThan">
      <formula>1</formula>
    </cfRule>
    <cfRule type="cellIs" dxfId="3" priority="4" operator="equal">
      <formula>1</formula>
    </cfRule>
  </conditionalFormatting>
  <conditionalFormatting sqref="N10:N13">
    <cfRule type="cellIs" dxfId="2" priority="24" operator="equal">
      <formula>1</formula>
    </cfRule>
  </conditionalFormatting>
  <conditionalFormatting sqref="N10:N14">
    <cfRule type="cellIs" dxfId="1" priority="5" operator="lessThan">
      <formula>1</formula>
    </cfRule>
  </conditionalFormatting>
  <conditionalFormatting sqref="N14"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300" verticalDpi="300" r:id="rId1"/>
  <ignoredErrors>
    <ignoredError sqref="J19:J23 J26:J29 J32:J34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6A07-92E7-5543-8F82-6E4FA33608AD}">
  <dimension ref="A1"/>
  <sheetViews>
    <sheetView workbookViewId="0">
      <selection activeCell="K15" sqref="K15"/>
    </sheetView>
  </sheetViews>
  <sheetFormatPr defaultColWidth="10.69921875" defaultRowHeight="15.6"/>
  <cols>
    <col min="4" max="4" width="10.296875" bestFit="1" customWidth="1"/>
  </cols>
  <sheetData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Model</vt:lpstr>
      <vt:lpstr>Approved Line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2023-01-19T15:45:03Z</dcterms:created>
  <dcterms:modified xsi:type="dcterms:W3CDTF">2025-10-02T16:50:15Z</dcterms:modified>
  <cp:category/>
  <cp:contentStatus/>
</cp:coreProperties>
</file>