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pvipi\Desktop\VIP_GitHub\Excel_Projects\Healthcare_sector_Projects\Hospital_Emergency_Room_Data_Analysis\"/>
    </mc:Choice>
  </mc:AlternateContent>
  <xr:revisionPtr revIDLastSave="0" documentId="13_ncr:1_{87AB3473-7BB1-4686-8DC5-7416788103E0}" xr6:coauthVersionLast="47" xr6:coauthVersionMax="47" xr10:uidLastSave="{00000000-0000-0000-0000-000000000000}"/>
  <bookViews>
    <workbookView xWindow="-108" yWindow="-108" windowWidth="23256" windowHeight="12456" xr2:uid="{95F5B11D-4702-44CD-9A9E-7B0BD0E113FF}"/>
  </bookViews>
  <sheets>
    <sheet name="Dashboard" sheetId="3" r:id="rId1"/>
    <sheet name="Pivot Report" sheetId="1" r:id="rId2"/>
    <sheet name="Daily ER No. of Patient" sheetId="4" r:id="rId3"/>
    <sheet name="Average Wait time daily trend" sheetId="6" r:id="rId4"/>
    <sheet name="Satisfaction score Daily trends" sheetId="8" r:id="rId5"/>
  </sheets>
  <definedNames>
    <definedName name="Slicer_Date__Month">#N/A</definedName>
    <definedName name="Slicer_Date__Year">#N/A</definedName>
  </definedNames>
  <calcPr calcId="191029"/>
  <pivotCaches>
    <pivotCache cacheId="14" r:id="rId6"/>
    <pivotCache cacheId="17" r:id="rId7"/>
    <pivotCache cacheId="20" r:id="rId8"/>
    <pivotCache cacheId="23" r:id="rId9"/>
    <pivotCache cacheId="26" r:id="rId10"/>
    <pivotCache cacheId="29" r:id="rId11"/>
    <pivotCache cacheId="32" r:id="rId12"/>
    <pivotCache cacheId="35" r:id="rId13"/>
    <pivotCache cacheId="38" r:id="rId14"/>
    <pivotCache cacheId="41" r:id="rId15"/>
    <pivotCache cacheId="44"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2cec7a0-8c51-467e-9ee1-4a4c1bf1d83e" name="Hospital Emergency Room Data" connection="Query - Hospital Emergency Room Data"/>
          <x15:modelTable id="Calendar_Table_159e947c-3a71-4d38-8a94-72035f5ce5f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1" l="1"/>
  <c r="F46" i="1"/>
  <c r="E45" i="1"/>
  <c r="F45" i="1"/>
  <c r="D46" i="1"/>
  <c r="D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C69122-6477-484B-8B92-1F002DA81375}" name="Query - Calendar_Table" description="Connection to the 'Calendar_Table' query in the workbook." type="100" refreshedVersion="8" minRefreshableVersion="5">
    <extLst>
      <ext xmlns:x15="http://schemas.microsoft.com/office/spreadsheetml/2010/11/main" uri="{DE250136-89BD-433C-8126-D09CA5730AF9}">
        <x15:connection id="139b1abf-0ae2-4d15-a4e0-073e4a5f9509"/>
      </ext>
    </extLst>
  </connection>
  <connection id="2" xr16:uid="{115ADF70-4674-4F22-9996-BF315C63F6F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8617892-d07e-412a-b060-80f4a3434815"/>
      </ext>
    </extLst>
  </connection>
  <connection id="3" xr16:uid="{6B4C2E4E-FD19-4215-B985-41E147FAE1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<sst xmlns="http://schemas.openxmlformats.org/spreadsheetml/2006/main" count="59" uniqueCount="45">
  <si>
    <t>Distinct Count of Patient Id</t>
  </si>
  <si>
    <t>No. of patient</t>
  </si>
  <si>
    <t>Average of Patient Waittime</t>
  </si>
  <si>
    <t>Average of Patient Satisfaction Score</t>
  </si>
  <si>
    <t>Row Labels</t>
  </si>
  <si>
    <t>Grand Total</t>
  </si>
  <si>
    <t>Female</t>
  </si>
  <si>
    <t>None</t>
  </si>
  <si>
    <t>Admitted</t>
  </si>
  <si>
    <t>40-49</t>
  </si>
  <si>
    <t>Ontime</t>
  </si>
  <si>
    <t>30-39</t>
  </si>
  <si>
    <t>Delay</t>
  </si>
  <si>
    <t>60-69</t>
  </si>
  <si>
    <t>Male</t>
  </si>
  <si>
    <t>Not Admitted</t>
  </si>
  <si>
    <t>10-19</t>
  </si>
  <si>
    <t>20-29</t>
  </si>
  <si>
    <t>General Practice</t>
  </si>
  <si>
    <t>0-9</t>
  </si>
  <si>
    <t>Orthopedics</t>
  </si>
  <si>
    <t>50-59</t>
  </si>
  <si>
    <t>Physiotherapy</t>
  </si>
  <si>
    <t>Cardiology</t>
  </si>
  <si>
    <t>Gastroenterology</t>
  </si>
  <si>
    <t>70-79</t>
  </si>
  <si>
    <t>Average wait Time</t>
  </si>
  <si>
    <t>Satisfaction Score daily Trend</t>
  </si>
  <si>
    <t>Count of Patient attend Status</t>
  </si>
  <si>
    <t>Count of Patient Admission Flag</t>
  </si>
  <si>
    <t>Count of Patient Admission Flag2</t>
  </si>
  <si>
    <t>Admission status</t>
  </si>
  <si>
    <t>No. of Patient</t>
  </si>
  <si>
    <t>% Status</t>
  </si>
  <si>
    <t>Count of Age Group</t>
  </si>
  <si>
    <t>age group wise analysis</t>
  </si>
  <si>
    <t>Attended Status</t>
  </si>
  <si>
    <t>Count of Patient Gender</t>
  </si>
  <si>
    <t>Gender Analysis</t>
  </si>
  <si>
    <t>Neurology</t>
  </si>
  <si>
    <t>Renal</t>
  </si>
  <si>
    <t>Count of Department Referral</t>
  </si>
  <si>
    <t>2024</t>
  </si>
  <si>
    <t>Qtr2</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</si>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</sst>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2"/>
        <bgColor indexed="64"/>
      </patternFill>
    </fill>
    <fill>
      <patternFill patternType="solid">
        <fgColor theme="0"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2"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0" fontId="2" fillId="5" borderId="0" xfId="0" applyFont="1" applyFill="1"/>
    <xf numFmtId="0" fontId="2" fillId="5" borderId="0" xfId="0" applyFont="1"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0" borderId="0" xfId="0"/>
    <xf numFmtId="0" fontId="0" fillId="0" borderId="0" xfId="0" applyNumberFormat="1"/>
  </cellXfs>
  <cellStyles count="2">
    <cellStyle name="Normal" xfId="0" builtinId="0"/>
    <cellStyle name="Percent" xfId="1" builtinId="5"/>
  </cellStyles>
  <dxfs count="32">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fill>
        <patternFill>
          <fgColor theme="9" tint="-0.24994659260841701"/>
          <bgColor theme="2"/>
        </patternFill>
      </fill>
    </dxf>
    <dxf>
      <fill>
        <patternFill>
          <fgColor theme="6" tint="0.39994506668294322"/>
          <bgColor theme="2"/>
        </patternFill>
      </fill>
    </dxf>
    <dxf>
      <fill>
        <patternFill>
          <bgColor theme="2"/>
        </patternFill>
      </fill>
    </dxf>
    <dxf>
      <font>
        <color theme="2"/>
      </font>
    </dxf>
  </dxfs>
  <tableStyles count="4" defaultTableStyle="TableStyleMedium2" defaultPivotStyle="PivotStyleLight16">
    <tableStyle name="Slicer Style 1" pivot="0" table="0" count="1" xr9:uid="{8C15A4F4-2752-4EA2-ACED-70219695D970}">
      <tableStyleElement type="wholeTable" dxfId="31"/>
    </tableStyle>
    <tableStyle name="Slicer Style 2" pivot="0" table="0" count="1" xr9:uid="{7331E438-290F-4834-B798-E100B465A1B6}">
      <tableStyleElement type="wholeTable" dxfId="30"/>
    </tableStyle>
    <tableStyle name="Slicer Style 3" pivot="0" table="0" count="1" xr9:uid="{C02FC761-6DD2-4F13-BAAC-CC98D8EBA5F3}">
      <tableStyleElement type="wholeTable" dxfId="29"/>
    </tableStyle>
    <tableStyle name="Slicer Style 4" pivot="0" table="0" count="1" xr9:uid="{36873010-266A-4BBE-959A-DA41FECAF598}">
      <tableStyleElement type="wholeTable" dxfId="28"/>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89891169461554E-2"/>
          <c:y val="0.55947716535433067"/>
          <c:w val="0.90445168295331158"/>
          <c:h val="0.43408983297655329"/>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Report'!$J$6:$J$36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7A88-4BF6-B98E-EAFB69D1F4A3}"/>
            </c:ext>
          </c:extLst>
        </c:ser>
        <c:dLbls>
          <c:showLegendKey val="0"/>
          <c:showVal val="0"/>
          <c:showCatName val="0"/>
          <c:showSerName val="0"/>
          <c:showPercent val="0"/>
          <c:showBubbleSize val="0"/>
        </c:dLbls>
        <c:axId val="1187082896"/>
        <c:axId val="1187083256"/>
      </c:areaChart>
      <c:catAx>
        <c:axId val="1187082896"/>
        <c:scaling>
          <c:orientation val="minMax"/>
        </c:scaling>
        <c:delete val="1"/>
        <c:axPos val="b"/>
        <c:numFmt formatCode="General" sourceLinked="1"/>
        <c:majorTickMark val="out"/>
        <c:minorTickMark val="none"/>
        <c:tickLblPos val="nextTo"/>
        <c:crossAx val="1187083256"/>
        <c:crosses val="autoZero"/>
        <c:auto val="1"/>
        <c:lblAlgn val="ctr"/>
        <c:lblOffset val="100"/>
        <c:noMultiLvlLbl val="0"/>
      </c:catAx>
      <c:valAx>
        <c:axId val="1187083256"/>
        <c:scaling>
          <c:orientation val="minMax"/>
        </c:scaling>
        <c:delete val="1"/>
        <c:axPos val="l"/>
        <c:numFmt formatCode="0.00" sourceLinked="1"/>
        <c:majorTickMark val="none"/>
        <c:minorTickMark val="none"/>
        <c:tickLblPos val="nextTo"/>
        <c:crossAx val="1187082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89108328672031E-3"/>
          <c:y val="0"/>
          <c:w val="0.99522102568077808"/>
          <c:h val="1"/>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Report'!$J$6:$J$36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AFE8-4711-91E0-4F2F52531C1E}"/>
            </c:ext>
          </c:extLst>
        </c:ser>
        <c:dLbls>
          <c:showLegendKey val="0"/>
          <c:showVal val="0"/>
          <c:showCatName val="0"/>
          <c:showSerName val="0"/>
          <c:showPercent val="0"/>
          <c:showBubbleSize val="0"/>
        </c:dLbls>
        <c:axId val="1218406200"/>
        <c:axId val="1218409800"/>
      </c:areaChart>
      <c:catAx>
        <c:axId val="1218406200"/>
        <c:scaling>
          <c:orientation val="minMax"/>
        </c:scaling>
        <c:delete val="1"/>
        <c:axPos val="b"/>
        <c:numFmt formatCode="General" sourceLinked="1"/>
        <c:majorTickMark val="out"/>
        <c:minorTickMark val="none"/>
        <c:tickLblPos val="nextTo"/>
        <c:crossAx val="1218409800"/>
        <c:crosses val="autoZero"/>
        <c:auto val="1"/>
        <c:lblAlgn val="ctr"/>
        <c:lblOffset val="100"/>
        <c:noMultiLvlLbl val="0"/>
      </c:catAx>
      <c:valAx>
        <c:axId val="1218409800"/>
        <c:scaling>
          <c:orientation val="minMax"/>
        </c:scaling>
        <c:delete val="1"/>
        <c:axPos val="l"/>
        <c:numFmt formatCode="0.00" sourceLinked="1"/>
        <c:majorTickMark val="none"/>
        <c:minorTickMark val="none"/>
        <c:tickLblPos val="nextTo"/>
        <c:crossAx val="1218406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Report'!$N$5</c:f>
              <c:strCache>
                <c:ptCount val="1"/>
                <c:pt idx="0">
                  <c:v>Total</c:v>
                </c:pt>
              </c:strCache>
            </c:strRef>
          </c:tx>
          <c:spPr>
            <a:solidFill>
              <a:schemeClr val="accent1"/>
            </a:solidFill>
            <a:ln w="25400">
              <a:noFill/>
            </a:ln>
            <a:effectLst/>
          </c:spPr>
          <c:cat>
            <c:strRef>
              <c:f>'Pivot Report'!$M$6:$M$36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Report'!$N$6:$N$36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B89D-4CB1-AD9B-DD91A1A486F5}"/>
            </c:ext>
          </c:extLst>
        </c:ser>
        <c:dLbls>
          <c:showLegendKey val="0"/>
          <c:showVal val="0"/>
          <c:showCatName val="0"/>
          <c:showSerName val="0"/>
          <c:showPercent val="0"/>
          <c:showBubbleSize val="0"/>
        </c:dLbls>
        <c:axId val="1226410176"/>
        <c:axId val="1226411256"/>
      </c:areaChart>
      <c:catAx>
        <c:axId val="1226410176"/>
        <c:scaling>
          <c:orientation val="minMax"/>
        </c:scaling>
        <c:delete val="1"/>
        <c:axPos val="b"/>
        <c:numFmt formatCode="General" sourceLinked="1"/>
        <c:majorTickMark val="out"/>
        <c:minorTickMark val="none"/>
        <c:tickLblPos val="nextTo"/>
        <c:crossAx val="1226411256"/>
        <c:crosses val="autoZero"/>
        <c:auto val="1"/>
        <c:lblAlgn val="ctr"/>
        <c:lblOffset val="100"/>
        <c:noMultiLvlLbl val="0"/>
      </c:catAx>
      <c:valAx>
        <c:axId val="1226411256"/>
        <c:scaling>
          <c:orientation val="minMax"/>
        </c:scaling>
        <c:delete val="1"/>
        <c:axPos val="l"/>
        <c:numFmt formatCode="0.00" sourceLinked="1"/>
        <c:majorTickMark val="none"/>
        <c:minorTickMark val="none"/>
        <c:tickLblPos val="nextTo"/>
        <c:crossAx val="1226410176"/>
        <c:crosses val="autoZero"/>
        <c:crossBetween val="midCat"/>
      </c:valAx>
      <c:spPr>
        <a:noFill/>
        <a:ln>
          <a:solidFill>
            <a:schemeClr val="lt1">
              <a:shade val="50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03149606299231E-2"/>
          <c:y val="7.407407407407407E-2"/>
          <c:w val="0.87114129483814529"/>
          <c:h val="0.64369827665493018"/>
        </c:manualLayout>
      </c:layout>
      <c:barChart>
        <c:barDir val="col"/>
        <c:grouping val="clustered"/>
        <c:varyColors val="0"/>
        <c:ser>
          <c:idx val="0"/>
          <c:order val="0"/>
          <c:tx>
            <c:strRef>
              <c:f>'Pivot Report'!$D$53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Report'!$C$54:$C$62</c:f>
              <c:strCache>
                <c:ptCount val="8"/>
                <c:pt idx="0">
                  <c:v>0-9</c:v>
                </c:pt>
                <c:pt idx="1">
                  <c:v>10-19</c:v>
                </c:pt>
                <c:pt idx="2">
                  <c:v>20-29</c:v>
                </c:pt>
                <c:pt idx="3">
                  <c:v>30-39</c:v>
                </c:pt>
                <c:pt idx="4">
                  <c:v>40-49</c:v>
                </c:pt>
                <c:pt idx="5">
                  <c:v>50-59</c:v>
                </c:pt>
                <c:pt idx="6">
                  <c:v>60-69</c:v>
                </c:pt>
                <c:pt idx="7">
                  <c:v>70-79</c:v>
                </c:pt>
              </c:strCache>
            </c:strRef>
          </c:cat>
          <c:val>
            <c:numRef>
              <c:f>'Pivot Report'!$D$54:$D$62</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3-91C8-484A-903E-04A22B275BD4}"/>
            </c:ext>
          </c:extLst>
        </c:ser>
        <c:dLbls>
          <c:showLegendKey val="0"/>
          <c:showVal val="0"/>
          <c:showCatName val="0"/>
          <c:showSerName val="0"/>
          <c:showPercent val="0"/>
          <c:showBubbleSize val="0"/>
        </c:dLbls>
        <c:gapWidth val="219"/>
        <c:overlap val="-27"/>
        <c:axId val="1289348848"/>
        <c:axId val="1289350648"/>
      </c:barChart>
      <c:catAx>
        <c:axId val="12893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50648"/>
        <c:crosses val="autoZero"/>
        <c:auto val="1"/>
        <c:lblAlgn val="ctr"/>
        <c:lblOffset val="100"/>
        <c:noMultiLvlLbl val="0"/>
      </c:catAx>
      <c:valAx>
        <c:axId val="1289350648"/>
        <c:scaling>
          <c:orientation val="minMax"/>
        </c:scaling>
        <c:delete val="1"/>
        <c:axPos val="l"/>
        <c:numFmt formatCode="0.00" sourceLinked="1"/>
        <c:majorTickMark val="none"/>
        <c:minorTickMark val="none"/>
        <c:tickLblPos val="nextTo"/>
        <c:crossAx val="128934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sx="1000" sy="1000" algn="ctr"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sx="1000" sy="1000" algn="ctr" rotWithShape="0">
              <a:prstClr val="black"/>
            </a:outerShdw>
          </a:effectLst>
        </c:spPr>
      </c:pivotFmt>
      <c:pivotFmt>
        <c:idx val="6"/>
        <c:spPr>
          <a:solidFill>
            <a:schemeClr val="accent1"/>
          </a:solidFill>
          <a:ln>
            <a:noFill/>
          </a:ln>
          <a:effectLst>
            <a:outerShdw sx="1000" sy="1000" algn="ctr" rotWithShape="0">
              <a:prstClr val="black"/>
            </a:outerShdw>
          </a:effectLst>
        </c:spPr>
      </c:pivotFmt>
    </c:pivotFmts>
    <c:plotArea>
      <c:layout>
        <c:manualLayout>
          <c:layoutTarget val="inner"/>
          <c:xMode val="edge"/>
          <c:yMode val="edge"/>
          <c:x val="0.14567118796558826"/>
          <c:y val="0.1494028871391076"/>
          <c:w val="0.77522723331191512"/>
          <c:h val="0.85059711286089235"/>
        </c:manualLayout>
      </c:layout>
      <c:pieChart>
        <c:varyColors val="1"/>
        <c:ser>
          <c:idx val="0"/>
          <c:order val="0"/>
          <c:tx>
            <c:strRef>
              <c:f>'Pivot Report'!$D$67</c:f>
              <c:strCache>
                <c:ptCount val="1"/>
                <c:pt idx="0">
                  <c:v>Total</c:v>
                </c:pt>
              </c:strCache>
            </c:strRef>
          </c:tx>
          <c:spPr>
            <a:effectLst>
              <a:outerShdw sx="1000" sy="1000" algn="ctr" rotWithShape="0">
                <a:prstClr val="black"/>
              </a:outerShdw>
            </a:effectLst>
          </c:spPr>
          <c:dPt>
            <c:idx val="0"/>
            <c:bubble3D val="0"/>
            <c:spPr>
              <a:solidFill>
                <a:schemeClr val="accent1"/>
              </a:solidFill>
              <a:ln>
                <a:noFill/>
              </a:ln>
              <a:effectLst>
                <a:outerShdw sx="1000" sy="1000" algn="ctr" rotWithShape="0">
                  <a:prstClr val="black"/>
                </a:outerShdw>
              </a:effectLst>
            </c:spPr>
            <c:extLst>
              <c:ext xmlns:c16="http://schemas.microsoft.com/office/drawing/2014/chart" uri="{C3380CC4-5D6E-409C-BE32-E72D297353CC}">
                <c16:uniqueId val="{00000001-4739-4092-8CE9-2CEF3F118AE3}"/>
              </c:ext>
            </c:extLst>
          </c:dPt>
          <c:dPt>
            <c:idx val="1"/>
            <c:bubble3D val="0"/>
            <c:spPr>
              <a:solidFill>
                <a:schemeClr val="accent2"/>
              </a:solidFill>
              <a:ln>
                <a:noFill/>
              </a:ln>
              <a:effectLst>
                <a:outerShdw sx="1000" sy="1000" algn="ctr" rotWithShape="0">
                  <a:prstClr val="black"/>
                </a:outerShdw>
              </a:effectLst>
            </c:spPr>
            <c:extLst>
              <c:ext xmlns:c16="http://schemas.microsoft.com/office/drawing/2014/chart" uri="{C3380CC4-5D6E-409C-BE32-E72D297353CC}">
                <c16:uniqueId val="{00000003-4739-4092-8CE9-2CEF3F118A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Report'!$C$68:$C$70</c:f>
              <c:strCache>
                <c:ptCount val="2"/>
                <c:pt idx="0">
                  <c:v>Delay</c:v>
                </c:pt>
                <c:pt idx="1">
                  <c:v>Ontime</c:v>
                </c:pt>
              </c:strCache>
            </c:strRef>
          </c:cat>
          <c:val>
            <c:numRef>
              <c:f>'Pivot Report'!$D$68:$D$70</c:f>
              <c:numCache>
                <c:formatCode>0</c:formatCode>
                <c:ptCount val="2"/>
                <c:pt idx="0">
                  <c:v>324</c:v>
                </c:pt>
                <c:pt idx="1">
                  <c:v>195</c:v>
                </c:pt>
              </c:numCache>
            </c:numRef>
          </c:val>
          <c:extLst>
            <c:ext xmlns:c16="http://schemas.microsoft.com/office/drawing/2014/chart" uri="{C3380CC4-5D6E-409C-BE32-E72D297353CC}">
              <c16:uniqueId val="{00000007-1EAF-4C18-9394-F8B7974857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834205897733548"/>
          <c:y val="3.5301837270341209E-3"/>
          <c:w val="0.74897009872624598"/>
          <c:h val="0.27607572972367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sx="1000" sy="1000" algn="ctr"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sx="1000" sy="1000" algn="ctr" rotWithShape="0">
              <a:prstClr val="black"/>
            </a:outerShdw>
          </a:effectLst>
        </c:spPr>
      </c:pivotFmt>
      <c:pivotFmt>
        <c:idx val="6"/>
        <c:spPr>
          <a:solidFill>
            <a:schemeClr val="accent1"/>
          </a:solidFill>
          <a:ln>
            <a:noFill/>
          </a:ln>
          <a:effectLst>
            <a:outerShdw sx="1000" sy="1000" algn="ctr" rotWithShape="0">
              <a:prstClr val="black"/>
            </a:outerShdw>
          </a:effectLst>
        </c:spPr>
      </c:pivotFmt>
    </c:pivotFmts>
    <c:plotArea>
      <c:layout>
        <c:manualLayout>
          <c:layoutTarget val="inner"/>
          <c:xMode val="edge"/>
          <c:yMode val="edge"/>
          <c:x val="9.248861101848542E-2"/>
          <c:y val="0.11061557305336833"/>
          <c:w val="0.73598023384619793"/>
          <c:h val="0.86355065616797899"/>
        </c:manualLayout>
      </c:layout>
      <c:doughnutChart>
        <c:varyColors val="1"/>
        <c:ser>
          <c:idx val="0"/>
          <c:order val="0"/>
          <c:tx>
            <c:strRef>
              <c:f>'Pivot Report'!$D$78</c:f>
              <c:strCache>
                <c:ptCount val="1"/>
                <c:pt idx="0">
                  <c:v>Total</c:v>
                </c:pt>
              </c:strCache>
            </c:strRef>
          </c:tx>
          <c:spPr>
            <a:effectLst>
              <a:outerShdw sx="1000" sy="1000" algn="ctr" rotWithShape="0">
                <a:prstClr val="black"/>
              </a:outerShdw>
            </a:effectLst>
          </c:spPr>
          <c:dPt>
            <c:idx val="0"/>
            <c:bubble3D val="0"/>
            <c:spPr>
              <a:solidFill>
                <a:schemeClr val="accent1"/>
              </a:solidFill>
              <a:ln>
                <a:noFill/>
              </a:ln>
              <a:effectLst>
                <a:outerShdw sx="1000" sy="1000" algn="ctr" rotWithShape="0">
                  <a:prstClr val="black"/>
                </a:outerShdw>
              </a:effectLst>
            </c:spPr>
            <c:extLst>
              <c:ext xmlns:c16="http://schemas.microsoft.com/office/drawing/2014/chart" uri="{C3380CC4-5D6E-409C-BE32-E72D297353CC}">
                <c16:uniqueId val="{00000001-5BFF-43F3-A938-96002B753A55}"/>
              </c:ext>
            </c:extLst>
          </c:dPt>
          <c:dPt>
            <c:idx val="1"/>
            <c:bubble3D val="0"/>
            <c:spPr>
              <a:solidFill>
                <a:schemeClr val="accent2"/>
              </a:solidFill>
              <a:ln>
                <a:noFill/>
              </a:ln>
              <a:effectLst>
                <a:outerShdw sx="1000" sy="1000" algn="ctr" rotWithShape="0">
                  <a:prstClr val="black"/>
                </a:outerShdw>
              </a:effectLst>
            </c:spPr>
            <c:extLst>
              <c:ext xmlns:c16="http://schemas.microsoft.com/office/drawing/2014/chart" uri="{C3380CC4-5D6E-409C-BE32-E72D297353CC}">
                <c16:uniqueId val="{00000003-5BFF-43F3-A938-96002B753A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Report'!$C$79:$C$81</c:f>
              <c:strCache>
                <c:ptCount val="2"/>
                <c:pt idx="0">
                  <c:v>Female</c:v>
                </c:pt>
                <c:pt idx="1">
                  <c:v>Male</c:v>
                </c:pt>
              </c:strCache>
            </c:strRef>
          </c:cat>
          <c:val>
            <c:numRef>
              <c:f>'Pivot Report'!$D$79:$D$81</c:f>
              <c:numCache>
                <c:formatCode>0.00</c:formatCode>
                <c:ptCount val="2"/>
                <c:pt idx="0">
                  <c:v>254</c:v>
                </c:pt>
                <c:pt idx="1">
                  <c:v>265</c:v>
                </c:pt>
              </c:numCache>
            </c:numRef>
          </c:val>
          <c:extLst>
            <c:ext xmlns:c16="http://schemas.microsoft.com/office/drawing/2014/chart" uri="{C3380CC4-5D6E-409C-BE32-E72D297353CC}">
              <c16:uniqueId val="{00000007-46E6-47EE-87FC-43467D714B3B}"/>
            </c:ext>
          </c:extLst>
        </c:ser>
        <c:dLbls>
          <c:showLegendKey val="0"/>
          <c:showVal val="0"/>
          <c:showCatName val="0"/>
          <c:showSerName val="0"/>
          <c:showPercent val="1"/>
          <c:showBubbleSize val="0"/>
          <c:showLeaderLines val="1"/>
        </c:dLbls>
        <c:firstSliceAng val="0"/>
        <c:holeSize val="43"/>
      </c:doughnutChart>
      <c:spPr>
        <a:noFill/>
        <a:ln>
          <a:noFill/>
        </a:ln>
        <a:effectLst>
          <a:outerShdw blurRad="50800" dist="50800" dir="5400000" algn="ctr" rotWithShape="0">
            <a:schemeClr val="bg2"/>
          </a:outerShdw>
        </a:effectLst>
      </c:spPr>
    </c:plotArea>
    <c:legend>
      <c:legendPos val="r"/>
      <c:layout>
        <c:manualLayout>
          <c:xMode val="edge"/>
          <c:yMode val="edge"/>
          <c:x val="9.9809055232011917E-2"/>
          <c:y val="1.3454964470904555E-2"/>
          <c:w val="0.75436783919837791"/>
          <c:h val="0.25000174978127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dist="508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57310970385682"/>
          <c:y val="6.2827225130890049E-2"/>
          <c:w val="0.58133708560217856"/>
          <c:h val="0.77578870703989222"/>
        </c:manualLayout>
      </c:layout>
      <c:barChart>
        <c:barDir val="bar"/>
        <c:grouping val="clustered"/>
        <c:varyColors val="0"/>
        <c:ser>
          <c:idx val="0"/>
          <c:order val="0"/>
          <c:tx>
            <c:strRef>
              <c:f>'Pivot Report'!$D$86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Report'!$C$87:$C$95</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 Report'!$D$87:$D$95</c:f>
              <c:numCache>
                <c:formatCode>0</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3-47DB-44C2-9FD1-52E741500EC1}"/>
            </c:ext>
          </c:extLst>
        </c:ser>
        <c:dLbls>
          <c:showLegendKey val="0"/>
          <c:showVal val="0"/>
          <c:showCatName val="0"/>
          <c:showSerName val="0"/>
          <c:showPercent val="0"/>
          <c:showBubbleSize val="0"/>
        </c:dLbls>
        <c:gapWidth val="111"/>
        <c:axId val="1280885768"/>
        <c:axId val="1280886488"/>
      </c:barChart>
      <c:catAx>
        <c:axId val="1280885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80886488"/>
        <c:crosses val="autoZero"/>
        <c:auto val="1"/>
        <c:lblAlgn val="ctr"/>
        <c:lblOffset val="100"/>
        <c:noMultiLvlLbl val="0"/>
      </c:catAx>
      <c:valAx>
        <c:axId val="1280886488"/>
        <c:scaling>
          <c:orientation val="minMax"/>
        </c:scaling>
        <c:delete val="1"/>
        <c:axPos val="b"/>
        <c:numFmt formatCode="0" sourceLinked="1"/>
        <c:majorTickMark val="none"/>
        <c:minorTickMark val="none"/>
        <c:tickLblPos val="nextTo"/>
        <c:crossAx val="1280885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47586298124217724"/>
          <c:y val="0.15641373399753603"/>
          <c:w val="0.43753583686654551"/>
          <c:h val="0.84204505686789155"/>
        </c:manualLayout>
      </c:layout>
      <c:barChart>
        <c:barDir val="bar"/>
        <c:grouping val="clustered"/>
        <c:varyColors val="0"/>
        <c:ser>
          <c:idx val="0"/>
          <c:order val="0"/>
          <c:tx>
            <c:strRef>
              <c:f>'Pivot Report'!$D$38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Report'!$C$39:$C$41</c:f>
              <c:strCache>
                <c:ptCount val="2"/>
                <c:pt idx="0">
                  <c:v>Admitted</c:v>
                </c:pt>
                <c:pt idx="1">
                  <c:v>Not Admitted</c:v>
                </c:pt>
              </c:strCache>
            </c:strRef>
          </c:cat>
          <c:val>
            <c:numRef>
              <c:f>'Pivot Report'!$D$39:$D$41</c:f>
              <c:numCache>
                <c:formatCode>0</c:formatCode>
                <c:ptCount val="2"/>
                <c:pt idx="0">
                  <c:v>266</c:v>
                </c:pt>
                <c:pt idx="1">
                  <c:v>253</c:v>
                </c:pt>
              </c:numCache>
            </c:numRef>
          </c:val>
          <c:extLst>
            <c:ext xmlns:c16="http://schemas.microsoft.com/office/drawing/2014/chart" uri="{C3380CC4-5D6E-409C-BE32-E72D297353CC}">
              <c16:uniqueId val="{00000005-D0D4-4A25-93B6-3B4EF49E9F33}"/>
            </c:ext>
          </c:extLst>
        </c:ser>
        <c:ser>
          <c:idx val="1"/>
          <c:order val="1"/>
          <c:tx>
            <c:strRef>
              <c:f>'Pivot Report'!$E$38</c:f>
              <c:strCache>
                <c:ptCount val="1"/>
                <c:pt idx="0">
                  <c:v>Count of Patient Admission Flag2</c:v>
                </c:pt>
              </c:strCache>
            </c:strRef>
          </c:tx>
          <c:spPr>
            <a:solidFill>
              <a:schemeClr val="accent2"/>
            </a:solidFill>
            <a:ln>
              <a:noFill/>
            </a:ln>
            <a:effectLst/>
          </c:spPr>
          <c:invertIfNegative val="0"/>
          <c:cat>
            <c:strRef>
              <c:f>'Pivot Report'!$C$39:$C$41</c:f>
              <c:strCache>
                <c:ptCount val="2"/>
                <c:pt idx="0">
                  <c:v>Admitted</c:v>
                </c:pt>
                <c:pt idx="1">
                  <c:v>Not Admitted</c:v>
                </c:pt>
              </c:strCache>
            </c:strRef>
          </c:cat>
          <c:val>
            <c:numRef>
              <c:f>'Pivot Report'!$E$39:$E$41</c:f>
              <c:numCache>
                <c:formatCode>0.00%</c:formatCode>
                <c:ptCount val="2"/>
                <c:pt idx="0">
                  <c:v>0.51252408477842004</c:v>
                </c:pt>
                <c:pt idx="1">
                  <c:v>0.48747591522157996</c:v>
                </c:pt>
              </c:numCache>
            </c:numRef>
          </c:val>
          <c:extLst>
            <c:ext xmlns:c16="http://schemas.microsoft.com/office/drawing/2014/chart" uri="{C3380CC4-5D6E-409C-BE32-E72D297353CC}">
              <c16:uniqueId val="{00000006-D0D4-4A25-93B6-3B4EF49E9F33}"/>
            </c:ext>
          </c:extLst>
        </c:ser>
        <c:dLbls>
          <c:showLegendKey val="0"/>
          <c:showVal val="0"/>
          <c:showCatName val="0"/>
          <c:showSerName val="0"/>
          <c:showPercent val="0"/>
          <c:showBubbleSize val="0"/>
        </c:dLbls>
        <c:gapWidth val="70"/>
        <c:axId val="1222889312"/>
        <c:axId val="1222890752"/>
      </c:barChart>
      <c:catAx>
        <c:axId val="1222889312"/>
        <c:scaling>
          <c:orientation val="minMax"/>
        </c:scaling>
        <c:delete val="1"/>
        <c:axPos val="l"/>
        <c:numFmt formatCode="General" sourceLinked="1"/>
        <c:majorTickMark val="none"/>
        <c:minorTickMark val="none"/>
        <c:tickLblPos val="nextTo"/>
        <c:crossAx val="1222890752"/>
        <c:crosses val="autoZero"/>
        <c:auto val="1"/>
        <c:lblAlgn val="ctr"/>
        <c:lblOffset val="100"/>
        <c:noMultiLvlLbl val="0"/>
      </c:catAx>
      <c:valAx>
        <c:axId val="1222890752"/>
        <c:scaling>
          <c:orientation val="minMax"/>
        </c:scaling>
        <c:delete val="1"/>
        <c:axPos val="b"/>
        <c:numFmt formatCode="0" sourceLinked="1"/>
        <c:majorTickMark val="none"/>
        <c:minorTickMark val="none"/>
        <c:tickLblPos val="nextTo"/>
        <c:crossAx val="1222889312"/>
        <c:crosses val="autoZero"/>
        <c:crossBetween val="between"/>
      </c:valAx>
      <c:dTable>
        <c:showHorzBorder val="1"/>
        <c:showVertBorder val="1"/>
        <c:showOutline val="1"/>
        <c:showKeys val="1"/>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Report!PivotTable1</c:name>
    <c:fmtId val="1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6100999670123E-2"/>
          <c:y val="0.13203878440814734"/>
          <c:w val="0.90445168295331158"/>
          <c:h val="0.5452010590555042"/>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Report'!$J$6:$J$36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3BBE-4607-A917-1E7E5BAA2C3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87082896"/>
        <c:axId val="1187083256"/>
      </c:areaChart>
      <c:catAx>
        <c:axId val="11870828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7083256"/>
        <c:crosses val="autoZero"/>
        <c:auto val="1"/>
        <c:lblAlgn val="ctr"/>
        <c:lblOffset val="100"/>
        <c:tickLblSkip val="1"/>
        <c:noMultiLvlLbl val="0"/>
      </c:catAx>
      <c:valAx>
        <c:axId val="1187083256"/>
        <c:scaling>
          <c:orientation val="minMax"/>
        </c:scaling>
        <c:delete val="1"/>
        <c:axPos val="l"/>
        <c:numFmt formatCode="0.00" sourceLinked="1"/>
        <c:majorTickMark val="out"/>
        <c:minorTickMark val="none"/>
        <c:tickLblPos val="nextTo"/>
        <c:crossAx val="1187082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Report!PivotTable1</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89108328672031E-3"/>
          <c:y val="0"/>
          <c:w val="0.99522102568077808"/>
          <c:h val="1"/>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Report'!$J$6:$J$36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F818-41FE-8858-A54E831513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8406200"/>
        <c:axId val="1218409800"/>
      </c:areaChart>
      <c:catAx>
        <c:axId val="12184062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8409800"/>
        <c:crosses val="autoZero"/>
        <c:auto val="1"/>
        <c:lblAlgn val="ctr"/>
        <c:lblOffset val="100"/>
        <c:noMultiLvlLbl val="0"/>
      </c:catAx>
      <c:valAx>
        <c:axId val="1218409800"/>
        <c:scaling>
          <c:orientation val="minMax"/>
        </c:scaling>
        <c:delete val="1"/>
        <c:axPos val="l"/>
        <c:numFmt formatCode="0.00" sourceLinked="1"/>
        <c:majorTickMark val="out"/>
        <c:minorTickMark val="none"/>
        <c:tickLblPos val="nextTo"/>
        <c:crossAx val="1218406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[Hosptial ER Sheet.xlsx]Pivot Report!PivotTable2</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Report'!$N$6:$N$36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B01D-4A97-9581-B03433716B5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6410176"/>
        <c:axId val="1226411256"/>
      </c:areaChart>
      <c:catAx>
        <c:axId val="1226410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6411256"/>
        <c:crosses val="autoZero"/>
        <c:auto val="1"/>
        <c:lblAlgn val="ctr"/>
        <c:lblOffset val="100"/>
        <c:noMultiLvlLbl val="0"/>
      </c:catAx>
      <c:valAx>
        <c:axId val="1226411256"/>
        <c:scaling>
          <c:orientation val="minMax"/>
        </c:scaling>
        <c:delete val="1"/>
        <c:axPos val="l"/>
        <c:numFmt formatCode="0.00" sourceLinked="1"/>
        <c:majorTickMark val="out"/>
        <c:minorTickMark val="none"/>
        <c:tickLblPos val="nextTo"/>
        <c:crossAx val="1226410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180975</xdr:colOff>
      <xdr:row>0</xdr:row>
      <xdr:rowOff>161925</xdr:rowOff>
    </xdr:from>
    <xdr:to>
      <xdr:col>8</xdr:col>
      <xdr:colOff>209550</xdr:colOff>
      <xdr:row>4</xdr:row>
      <xdr:rowOff>152400</xdr:rowOff>
    </xdr:to>
    <xdr:sp macro="" textlink="">
      <xdr:nvSpPr>
        <xdr:cNvPr id="2" name="Rectangle: Rounded Corners 1">
          <a:extLst>
            <a:ext uri="{FF2B5EF4-FFF2-40B4-BE49-F238E27FC236}">
              <a16:creationId xmlns:a16="http://schemas.microsoft.com/office/drawing/2014/main" id="{903B8D44-C9D1-B8EB-A085-686EBBC98EBA}"/>
            </a:ext>
          </a:extLst>
        </xdr:cNvPr>
        <xdr:cNvSpPr/>
      </xdr:nvSpPr>
      <xdr:spPr>
        <a:xfrm>
          <a:off x="180975" y="161925"/>
          <a:ext cx="4905375" cy="7524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257175</xdr:colOff>
      <xdr:row>0</xdr:row>
      <xdr:rowOff>161925</xdr:rowOff>
    </xdr:from>
    <xdr:to>
      <xdr:col>13</xdr:col>
      <xdr:colOff>419101</xdr:colOff>
      <xdr:row>4</xdr:row>
      <xdr:rowOff>161925</xdr:rowOff>
    </xdr:to>
    <xdr:sp macro="" textlink="">
      <xdr:nvSpPr>
        <xdr:cNvPr id="3" name="Rectangle: Rounded Corners 2">
          <a:extLst>
            <a:ext uri="{FF2B5EF4-FFF2-40B4-BE49-F238E27FC236}">
              <a16:creationId xmlns:a16="http://schemas.microsoft.com/office/drawing/2014/main" id="{53B84631-6410-0FDF-06D0-15039F5682F8}"/>
            </a:ext>
          </a:extLst>
        </xdr:cNvPr>
        <xdr:cNvSpPr/>
      </xdr:nvSpPr>
      <xdr:spPr>
        <a:xfrm>
          <a:off x="5133975" y="161925"/>
          <a:ext cx="3209926" cy="7620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476250</xdr:colOff>
      <xdr:row>1</xdr:row>
      <xdr:rowOff>66675</xdr:rowOff>
    </xdr:from>
    <xdr:to>
      <xdr:col>44</xdr:col>
      <xdr:colOff>123825</xdr:colOff>
      <xdr:row>5</xdr:row>
      <xdr:rowOff>57150</xdr:rowOff>
    </xdr:to>
    <xdr:sp macro="" textlink="">
      <xdr:nvSpPr>
        <xdr:cNvPr id="7" name="Rectangle: Rounded Corners 6">
          <a:extLst>
            <a:ext uri="{FF2B5EF4-FFF2-40B4-BE49-F238E27FC236}">
              <a16:creationId xmlns:a16="http://schemas.microsoft.com/office/drawing/2014/main" id="{E6CC5DFF-AABF-4746-70FB-6168EA734C9A}"/>
            </a:ext>
          </a:extLst>
        </xdr:cNvPr>
        <xdr:cNvSpPr/>
      </xdr:nvSpPr>
      <xdr:spPr>
        <a:xfrm>
          <a:off x="25469850" y="257175"/>
          <a:ext cx="1476375" cy="7524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47625</xdr:colOff>
      <xdr:row>1</xdr:row>
      <xdr:rowOff>85725</xdr:rowOff>
    </xdr:from>
    <xdr:to>
      <xdr:col>52</xdr:col>
      <xdr:colOff>304800</xdr:colOff>
      <xdr:row>5</xdr:row>
      <xdr:rowOff>76200</xdr:rowOff>
    </xdr:to>
    <xdr:sp macro="" textlink="">
      <xdr:nvSpPr>
        <xdr:cNvPr id="8" name="Rectangle: Rounded Corners 7">
          <a:extLst>
            <a:ext uri="{FF2B5EF4-FFF2-40B4-BE49-F238E27FC236}">
              <a16:creationId xmlns:a16="http://schemas.microsoft.com/office/drawing/2014/main" id="{1A5FE689-37B6-11C5-F27D-F763D0D3479F}"/>
            </a:ext>
          </a:extLst>
        </xdr:cNvPr>
        <xdr:cNvSpPr/>
      </xdr:nvSpPr>
      <xdr:spPr>
        <a:xfrm>
          <a:off x="30527625" y="276225"/>
          <a:ext cx="1476375" cy="7524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438150</xdr:colOff>
      <xdr:row>5</xdr:row>
      <xdr:rowOff>66675</xdr:rowOff>
    </xdr:from>
    <xdr:to>
      <xdr:col>10</xdr:col>
      <xdr:colOff>266700</xdr:colOff>
      <xdr:row>10</xdr:row>
      <xdr:rowOff>171450</xdr:rowOff>
    </xdr:to>
    <xdr:sp macro="" textlink="">
      <xdr:nvSpPr>
        <xdr:cNvPr id="9" name="Rectangle: Rounded Corners 8">
          <a:extLst>
            <a:ext uri="{FF2B5EF4-FFF2-40B4-BE49-F238E27FC236}">
              <a16:creationId xmlns:a16="http://schemas.microsoft.com/office/drawing/2014/main" id="{A40698D7-FF62-F7F6-06B4-29D4C7682C0F}"/>
            </a:ext>
          </a:extLst>
        </xdr:cNvPr>
        <xdr:cNvSpPr/>
      </xdr:nvSpPr>
      <xdr:spPr>
        <a:xfrm>
          <a:off x="4095750" y="1019175"/>
          <a:ext cx="2266950" cy="1057275"/>
        </a:xfrm>
        <a:prstGeom prst="roundRect">
          <a:avLst>
            <a:gd name="adj" fmla="val 855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chemeClr val="lt1"/>
            </a:solidFill>
          </a:endParaRPr>
        </a:p>
      </xdr:txBody>
    </xdr:sp>
    <xdr:clientData/>
  </xdr:twoCellAnchor>
  <xdr:twoCellAnchor editAs="absolute">
    <xdr:from>
      <xdr:col>10</xdr:col>
      <xdr:colOff>333376</xdr:colOff>
      <xdr:row>5</xdr:row>
      <xdr:rowOff>57151</xdr:rowOff>
    </xdr:from>
    <xdr:to>
      <xdr:col>13</xdr:col>
      <xdr:colOff>504825</xdr:colOff>
      <xdr:row>10</xdr:row>
      <xdr:rowOff>161925</xdr:rowOff>
    </xdr:to>
    <xdr:sp macro="" textlink="">
      <xdr:nvSpPr>
        <xdr:cNvPr id="10" name="Rectangle: Rounded Corners 9">
          <a:extLst>
            <a:ext uri="{FF2B5EF4-FFF2-40B4-BE49-F238E27FC236}">
              <a16:creationId xmlns:a16="http://schemas.microsoft.com/office/drawing/2014/main" id="{05418BFF-5F4A-05DC-ACA0-F89FFF92A2D5}"/>
            </a:ext>
          </a:extLst>
        </xdr:cNvPr>
        <xdr:cNvSpPr/>
      </xdr:nvSpPr>
      <xdr:spPr>
        <a:xfrm>
          <a:off x="6429376" y="1009651"/>
          <a:ext cx="2000249" cy="1057274"/>
        </a:xfrm>
        <a:prstGeom prst="roundRect">
          <a:avLst>
            <a:gd name="adj" fmla="val 495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571500</xdr:colOff>
      <xdr:row>5</xdr:row>
      <xdr:rowOff>38100</xdr:rowOff>
    </xdr:from>
    <xdr:to>
      <xdr:col>6</xdr:col>
      <xdr:colOff>380999</xdr:colOff>
      <xdr:row>10</xdr:row>
      <xdr:rowOff>38100</xdr:rowOff>
    </xdr:to>
    <xdr:sp macro="" textlink="">
      <xdr:nvSpPr>
        <xdr:cNvPr id="11" name="Rectangle: Rounded Corners 10">
          <a:extLst>
            <a:ext uri="{FF2B5EF4-FFF2-40B4-BE49-F238E27FC236}">
              <a16:creationId xmlns:a16="http://schemas.microsoft.com/office/drawing/2014/main" id="{8F537A72-FEE7-0F29-E2F6-8420273B7784}"/>
            </a:ext>
          </a:extLst>
        </xdr:cNvPr>
        <xdr:cNvSpPr/>
      </xdr:nvSpPr>
      <xdr:spPr>
        <a:xfrm>
          <a:off x="1790700" y="990600"/>
          <a:ext cx="2247899" cy="9525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38100</xdr:colOff>
      <xdr:row>1</xdr:row>
      <xdr:rowOff>0</xdr:rowOff>
    </xdr:from>
    <xdr:to>
      <xdr:col>17</xdr:col>
      <xdr:colOff>0</xdr:colOff>
      <xdr:row>10</xdr:row>
      <xdr:rowOff>171450</xdr:rowOff>
    </xdr:to>
    <xdr:sp macro="" textlink="">
      <xdr:nvSpPr>
        <xdr:cNvPr id="12" name="Rectangle: Rounded Corners 11">
          <a:extLst>
            <a:ext uri="{FF2B5EF4-FFF2-40B4-BE49-F238E27FC236}">
              <a16:creationId xmlns:a16="http://schemas.microsoft.com/office/drawing/2014/main" id="{02D56CC6-F23E-A02B-32B1-3A4A64C60B2B}"/>
            </a:ext>
          </a:extLst>
        </xdr:cNvPr>
        <xdr:cNvSpPr/>
      </xdr:nvSpPr>
      <xdr:spPr>
        <a:xfrm>
          <a:off x="8572500" y="190500"/>
          <a:ext cx="1790700" cy="1885950"/>
        </a:xfrm>
        <a:prstGeom prst="roundRect">
          <a:avLst>
            <a:gd name="adj" fmla="val 86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142875</xdr:colOff>
      <xdr:row>1</xdr:row>
      <xdr:rowOff>28575</xdr:rowOff>
    </xdr:from>
    <xdr:to>
      <xdr:col>20</xdr:col>
      <xdr:colOff>219075</xdr:colOff>
      <xdr:row>10</xdr:row>
      <xdr:rowOff>161925</xdr:rowOff>
    </xdr:to>
    <xdr:sp macro="" textlink="">
      <xdr:nvSpPr>
        <xdr:cNvPr id="13" name="Rectangle: Rounded Corners 12">
          <a:extLst>
            <a:ext uri="{FF2B5EF4-FFF2-40B4-BE49-F238E27FC236}">
              <a16:creationId xmlns:a16="http://schemas.microsoft.com/office/drawing/2014/main" id="{F95C5833-1E17-EAF7-BFB0-E7AF213A09D0}"/>
            </a:ext>
          </a:extLst>
        </xdr:cNvPr>
        <xdr:cNvSpPr/>
      </xdr:nvSpPr>
      <xdr:spPr>
        <a:xfrm>
          <a:off x="10506075" y="219075"/>
          <a:ext cx="1905000" cy="1847850"/>
        </a:xfrm>
        <a:prstGeom prst="roundRect">
          <a:avLst>
            <a:gd name="adj" fmla="val 790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200025</xdr:colOff>
      <xdr:row>5</xdr:row>
      <xdr:rowOff>38100</xdr:rowOff>
    </xdr:from>
    <xdr:to>
      <xdr:col>2</xdr:col>
      <xdr:colOff>457200</xdr:colOff>
      <xdr:row>21</xdr:row>
      <xdr:rowOff>57150</xdr:rowOff>
    </xdr:to>
    <xdr:sp macro="" textlink="">
      <xdr:nvSpPr>
        <xdr:cNvPr id="14" name="Rectangle: Rounded Corners 13">
          <a:extLst>
            <a:ext uri="{FF2B5EF4-FFF2-40B4-BE49-F238E27FC236}">
              <a16:creationId xmlns:a16="http://schemas.microsoft.com/office/drawing/2014/main" id="{CF3B1234-EB48-B2ED-4ECF-7D9A841BDAA7}"/>
            </a:ext>
          </a:extLst>
        </xdr:cNvPr>
        <xdr:cNvSpPr/>
      </xdr:nvSpPr>
      <xdr:spPr>
        <a:xfrm>
          <a:off x="200025" y="990600"/>
          <a:ext cx="1476375" cy="3067050"/>
        </a:xfrm>
        <a:prstGeom prst="roundRect">
          <a:avLst>
            <a:gd name="adj" fmla="val 505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38100</xdr:colOff>
      <xdr:row>11</xdr:row>
      <xdr:rowOff>9525</xdr:rowOff>
    </xdr:from>
    <xdr:to>
      <xdr:col>20</xdr:col>
      <xdr:colOff>180975</xdr:colOff>
      <xdr:row>22</xdr:row>
      <xdr:rowOff>85725</xdr:rowOff>
    </xdr:to>
    <xdr:sp macro="" textlink="">
      <xdr:nvSpPr>
        <xdr:cNvPr id="15" name="Rectangle: Rounded Corners 14">
          <a:extLst>
            <a:ext uri="{FF2B5EF4-FFF2-40B4-BE49-F238E27FC236}">
              <a16:creationId xmlns:a16="http://schemas.microsoft.com/office/drawing/2014/main" id="{D9612B7E-6FDE-A510-62FD-0AB0F548B87C}"/>
            </a:ext>
          </a:extLst>
        </xdr:cNvPr>
        <xdr:cNvSpPr/>
      </xdr:nvSpPr>
      <xdr:spPr>
        <a:xfrm>
          <a:off x="8572500" y="2105025"/>
          <a:ext cx="3800475" cy="2171700"/>
        </a:xfrm>
        <a:prstGeom prst="roundRect">
          <a:avLst>
            <a:gd name="adj" fmla="val 394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561974</xdr:colOff>
      <xdr:row>11</xdr:row>
      <xdr:rowOff>38100</xdr:rowOff>
    </xdr:from>
    <xdr:to>
      <xdr:col>13</xdr:col>
      <xdr:colOff>552450</xdr:colOff>
      <xdr:row>15</xdr:row>
      <xdr:rowOff>28575</xdr:rowOff>
    </xdr:to>
    <xdr:sp macro="" textlink="">
      <xdr:nvSpPr>
        <xdr:cNvPr id="16" name="Rectangle: Rounded Corners 15">
          <a:extLst>
            <a:ext uri="{FF2B5EF4-FFF2-40B4-BE49-F238E27FC236}">
              <a16:creationId xmlns:a16="http://schemas.microsoft.com/office/drawing/2014/main" id="{7E41EE55-F66C-4C2A-F401-028F1F355230}"/>
            </a:ext>
          </a:extLst>
        </xdr:cNvPr>
        <xdr:cNvSpPr/>
      </xdr:nvSpPr>
      <xdr:spPr>
        <a:xfrm>
          <a:off x="1781174" y="2133600"/>
          <a:ext cx="6696076" cy="752475"/>
        </a:xfrm>
        <a:prstGeom prst="roundRect">
          <a:avLst>
            <a:gd name="adj" fmla="val 50000"/>
          </a:avLst>
        </a:prstGeom>
        <a:solidFill>
          <a:schemeClr val="bg2"/>
        </a:solidFill>
        <a:ln>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561974</xdr:colOff>
      <xdr:row>15</xdr:row>
      <xdr:rowOff>104774</xdr:rowOff>
    </xdr:from>
    <xdr:to>
      <xdr:col>13</xdr:col>
      <xdr:colOff>552450</xdr:colOff>
      <xdr:row>22</xdr:row>
      <xdr:rowOff>76200</xdr:rowOff>
    </xdr:to>
    <xdr:sp macro="" textlink="">
      <xdr:nvSpPr>
        <xdr:cNvPr id="17" name="Rectangle: Rounded Corners 16">
          <a:extLst>
            <a:ext uri="{FF2B5EF4-FFF2-40B4-BE49-F238E27FC236}">
              <a16:creationId xmlns:a16="http://schemas.microsoft.com/office/drawing/2014/main" id="{DD526448-DDED-4260-6E6E-D7AD3B1B7B6A}"/>
            </a:ext>
          </a:extLst>
        </xdr:cNvPr>
        <xdr:cNvSpPr/>
      </xdr:nvSpPr>
      <xdr:spPr>
        <a:xfrm>
          <a:off x="1781174" y="2962274"/>
          <a:ext cx="6696076" cy="1304926"/>
        </a:xfrm>
        <a:prstGeom prst="roundRect">
          <a:avLst>
            <a:gd name="adj" fmla="val 729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257175</xdr:colOff>
      <xdr:row>1</xdr:row>
      <xdr:rowOff>57151</xdr:rowOff>
    </xdr:from>
    <xdr:to>
      <xdr:col>1</xdr:col>
      <xdr:colOff>419100</xdr:colOff>
      <xdr:row>4</xdr:row>
      <xdr:rowOff>19051</xdr:rowOff>
    </xdr:to>
    <xdr:pic>
      <xdr:nvPicPr>
        <xdr:cNvPr id="19" name="Picture 18">
          <a:extLst>
            <a:ext uri="{FF2B5EF4-FFF2-40B4-BE49-F238E27FC236}">
              <a16:creationId xmlns:a16="http://schemas.microsoft.com/office/drawing/2014/main" id="{A42D4A92-EBA8-885F-7F9A-8E1EAD5ED6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5" y="247651"/>
          <a:ext cx="771525" cy="533400"/>
        </a:xfrm>
        <a:prstGeom prst="rect">
          <a:avLst/>
        </a:prstGeom>
      </xdr:spPr>
    </xdr:pic>
    <xdr:clientData/>
  </xdr:twoCellAnchor>
  <xdr:twoCellAnchor>
    <xdr:from>
      <xdr:col>1</xdr:col>
      <xdr:colOff>542925</xdr:colOff>
      <xdr:row>1</xdr:row>
      <xdr:rowOff>0</xdr:rowOff>
    </xdr:from>
    <xdr:to>
      <xdr:col>7</xdr:col>
      <xdr:colOff>152400</xdr:colOff>
      <xdr:row>2</xdr:row>
      <xdr:rowOff>123825</xdr:rowOff>
    </xdr:to>
    <xdr:sp macro="" textlink="">
      <xdr:nvSpPr>
        <xdr:cNvPr id="22" name="TextBox 21">
          <a:extLst>
            <a:ext uri="{FF2B5EF4-FFF2-40B4-BE49-F238E27FC236}">
              <a16:creationId xmlns:a16="http://schemas.microsoft.com/office/drawing/2014/main" id="{1609D44A-1C0D-90EC-C997-59898A5BE34C}"/>
            </a:ext>
          </a:extLst>
        </xdr:cNvPr>
        <xdr:cNvSpPr txBox="1"/>
      </xdr:nvSpPr>
      <xdr:spPr>
        <a:xfrm>
          <a:off x="1152525" y="190500"/>
          <a:ext cx="32670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Hospital</a:t>
          </a:r>
          <a:r>
            <a:rPr lang="en-US" sz="1600" baseline="0"/>
            <a:t> Emergency </a:t>
          </a:r>
          <a:r>
            <a:rPr lang="en-US" sz="1600" baseline="0">
              <a:ln>
                <a:noFill/>
              </a:ln>
            </a:rPr>
            <a:t>Room</a:t>
          </a:r>
          <a:r>
            <a:rPr lang="en-US" sz="1600" baseline="0"/>
            <a:t> Dashboard</a:t>
          </a:r>
          <a:endParaRPr lang="en-US" sz="1600"/>
        </a:p>
      </xdr:txBody>
    </xdr:sp>
    <xdr:clientData/>
  </xdr:twoCellAnchor>
  <xdr:twoCellAnchor>
    <xdr:from>
      <xdr:col>3</xdr:col>
      <xdr:colOff>238124</xdr:colOff>
      <xdr:row>2</xdr:row>
      <xdr:rowOff>152401</xdr:rowOff>
    </xdr:from>
    <xdr:to>
      <xdr:col>5</xdr:col>
      <xdr:colOff>342899</xdr:colOff>
      <xdr:row>4</xdr:row>
      <xdr:rowOff>57151</xdr:rowOff>
    </xdr:to>
    <xdr:sp macro="" textlink="">
      <xdr:nvSpPr>
        <xdr:cNvPr id="23" name="TextBox 22">
          <a:extLst>
            <a:ext uri="{FF2B5EF4-FFF2-40B4-BE49-F238E27FC236}">
              <a16:creationId xmlns:a16="http://schemas.microsoft.com/office/drawing/2014/main" id="{5DBA8274-5B39-DB2B-588D-4A80B6C167E9}"/>
            </a:ext>
          </a:extLst>
        </xdr:cNvPr>
        <xdr:cNvSpPr txBox="1"/>
      </xdr:nvSpPr>
      <xdr:spPr>
        <a:xfrm>
          <a:off x="2066924" y="533401"/>
          <a:ext cx="13239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Monthly Report</a:t>
          </a:r>
          <a:endParaRPr lang="en-US" sz="1400"/>
        </a:p>
      </xdr:txBody>
    </xdr:sp>
    <xdr:clientData/>
  </xdr:twoCellAnchor>
  <xdr:twoCellAnchor editAs="absolute">
    <xdr:from>
      <xdr:col>2</xdr:col>
      <xdr:colOff>571500</xdr:colOff>
      <xdr:row>5</xdr:row>
      <xdr:rowOff>47625</xdr:rowOff>
    </xdr:from>
    <xdr:to>
      <xdr:col>6</xdr:col>
      <xdr:colOff>380999</xdr:colOff>
      <xdr:row>10</xdr:row>
      <xdr:rowOff>171450</xdr:rowOff>
    </xdr:to>
    <xdr:sp macro="" textlink="">
      <xdr:nvSpPr>
        <xdr:cNvPr id="56" name="Rectangle: Rounded Corners 55">
          <a:extLst>
            <a:ext uri="{FF2B5EF4-FFF2-40B4-BE49-F238E27FC236}">
              <a16:creationId xmlns:a16="http://schemas.microsoft.com/office/drawing/2014/main" id="{5429E8EA-5B3B-F414-DC59-5F95A28A1C8D}"/>
            </a:ext>
          </a:extLst>
        </xdr:cNvPr>
        <xdr:cNvSpPr/>
      </xdr:nvSpPr>
      <xdr:spPr>
        <a:xfrm>
          <a:off x="1790700" y="1000125"/>
          <a:ext cx="2247899" cy="1076325"/>
        </a:xfrm>
        <a:prstGeom prst="roundRect">
          <a:avLst>
            <a:gd name="adj" fmla="val 637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238124</xdr:colOff>
      <xdr:row>2</xdr:row>
      <xdr:rowOff>85725</xdr:rowOff>
    </xdr:from>
    <xdr:to>
      <xdr:col>5</xdr:col>
      <xdr:colOff>419100</xdr:colOff>
      <xdr:row>4</xdr:row>
      <xdr:rowOff>66676</xdr:rowOff>
    </xdr:to>
    <xdr:sp macro="" textlink="">
      <xdr:nvSpPr>
        <xdr:cNvPr id="57" name="TextBox 56">
          <a:extLst>
            <a:ext uri="{FF2B5EF4-FFF2-40B4-BE49-F238E27FC236}">
              <a16:creationId xmlns:a16="http://schemas.microsoft.com/office/drawing/2014/main" id="{CC1F1065-F01F-E721-D19D-FD2F34FB4AC6}"/>
            </a:ext>
          </a:extLst>
        </xdr:cNvPr>
        <xdr:cNvSpPr txBox="1"/>
      </xdr:nvSpPr>
      <xdr:spPr>
        <a:xfrm>
          <a:off x="2066924" y="466725"/>
          <a:ext cx="1400176" cy="36195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Monthly Report</a:t>
          </a:r>
          <a:endParaRPr lang="en-US" sz="1400"/>
        </a:p>
      </xdr:txBody>
    </xdr:sp>
    <xdr:clientData/>
  </xdr:twoCellAnchor>
  <xdr:oneCellAnchor>
    <xdr:from>
      <xdr:col>4</xdr:col>
      <xdr:colOff>76200</xdr:colOff>
      <xdr:row>5</xdr:row>
      <xdr:rowOff>104776</xdr:rowOff>
    </xdr:from>
    <xdr:ext cx="933450" cy="342900"/>
    <xdr:sp macro="" textlink="'Pivot Report'!G8">
      <xdr:nvSpPr>
        <xdr:cNvPr id="58" name="TextBox 57">
          <a:extLst>
            <a:ext uri="{FF2B5EF4-FFF2-40B4-BE49-F238E27FC236}">
              <a16:creationId xmlns:a16="http://schemas.microsoft.com/office/drawing/2014/main" id="{1C31F9E4-E867-DC79-DDC5-EF036F7E4373}"/>
            </a:ext>
          </a:extLst>
        </xdr:cNvPr>
        <xdr:cNvSpPr txBox="1"/>
      </xdr:nvSpPr>
      <xdr:spPr>
        <a:xfrm>
          <a:off x="2514600" y="1057276"/>
          <a:ext cx="933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noAutofit/>
        </a:bodyPr>
        <a:lstStyle/>
        <a:p>
          <a:fld id="{9397E655-CCC2-41AE-B77C-F37253DDB5B3}" type="TxLink">
            <a:rPr lang="en-US" sz="1600" b="0" i="0" u="none" strike="noStrike">
              <a:solidFill>
                <a:srgbClr val="000000"/>
              </a:solidFill>
              <a:latin typeface="Aptos Narrow"/>
            </a:rPr>
            <a:pPr/>
            <a:t>519</a:t>
          </a:fld>
          <a:endParaRPr lang="en-US" sz="1600"/>
        </a:p>
      </xdr:txBody>
    </xdr:sp>
    <xdr:clientData/>
  </xdr:oneCellAnchor>
  <xdr:twoCellAnchor editAs="absolute">
    <xdr:from>
      <xdr:col>3</xdr:col>
      <xdr:colOff>523874</xdr:colOff>
      <xdr:row>7</xdr:row>
      <xdr:rowOff>114300</xdr:rowOff>
    </xdr:from>
    <xdr:to>
      <xdr:col>5</xdr:col>
      <xdr:colOff>485775</xdr:colOff>
      <xdr:row>9</xdr:row>
      <xdr:rowOff>19050</xdr:rowOff>
    </xdr:to>
    <xdr:sp macro="" textlink="">
      <xdr:nvSpPr>
        <xdr:cNvPr id="59" name="TextBox 58">
          <a:extLst>
            <a:ext uri="{FF2B5EF4-FFF2-40B4-BE49-F238E27FC236}">
              <a16:creationId xmlns:a16="http://schemas.microsoft.com/office/drawing/2014/main" id="{6180E2A0-6DA3-61E9-22F0-569D50021A1F}"/>
            </a:ext>
          </a:extLst>
        </xdr:cNvPr>
        <xdr:cNvSpPr txBox="1"/>
      </xdr:nvSpPr>
      <xdr:spPr>
        <a:xfrm>
          <a:off x="2352674" y="1447800"/>
          <a:ext cx="11811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No.</a:t>
          </a:r>
          <a:r>
            <a:rPr lang="en-US" sz="1400" baseline="0"/>
            <a:t> of Patient</a:t>
          </a:r>
          <a:endParaRPr lang="en-US" sz="1400"/>
        </a:p>
      </xdr:txBody>
    </xdr:sp>
    <xdr:clientData/>
  </xdr:twoCellAnchor>
  <xdr:twoCellAnchor>
    <xdr:from>
      <xdr:col>7</xdr:col>
      <xdr:colOff>180975</xdr:colOff>
      <xdr:row>7</xdr:row>
      <xdr:rowOff>76200</xdr:rowOff>
    </xdr:from>
    <xdr:to>
      <xdr:col>9</xdr:col>
      <xdr:colOff>466725</xdr:colOff>
      <xdr:row>8</xdr:row>
      <xdr:rowOff>171450</xdr:rowOff>
    </xdr:to>
    <xdr:sp macro="" textlink="">
      <xdr:nvSpPr>
        <xdr:cNvPr id="60" name="TextBox 59">
          <a:extLst>
            <a:ext uri="{FF2B5EF4-FFF2-40B4-BE49-F238E27FC236}">
              <a16:creationId xmlns:a16="http://schemas.microsoft.com/office/drawing/2014/main" id="{512BA130-2CCF-BC40-1543-2792FB6450AA}"/>
            </a:ext>
          </a:extLst>
        </xdr:cNvPr>
        <xdr:cNvSpPr txBox="1"/>
      </xdr:nvSpPr>
      <xdr:spPr>
        <a:xfrm>
          <a:off x="4448175" y="1409700"/>
          <a:ext cx="1504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Average Wait Time</a:t>
          </a:r>
        </a:p>
      </xdr:txBody>
    </xdr:sp>
    <xdr:clientData/>
  </xdr:twoCellAnchor>
  <xdr:twoCellAnchor>
    <xdr:from>
      <xdr:col>10</xdr:col>
      <xdr:colOff>571500</xdr:colOff>
      <xdr:row>7</xdr:row>
      <xdr:rowOff>66675</xdr:rowOff>
    </xdr:from>
    <xdr:to>
      <xdr:col>13</xdr:col>
      <xdr:colOff>323850</xdr:colOff>
      <xdr:row>8</xdr:row>
      <xdr:rowOff>161925</xdr:rowOff>
    </xdr:to>
    <xdr:sp macro="" textlink="">
      <xdr:nvSpPr>
        <xdr:cNvPr id="61" name="TextBox 60">
          <a:extLst>
            <a:ext uri="{FF2B5EF4-FFF2-40B4-BE49-F238E27FC236}">
              <a16:creationId xmlns:a16="http://schemas.microsoft.com/office/drawing/2014/main" id="{CB27C915-999B-26C6-357F-4D5359F81848}"/>
            </a:ext>
          </a:extLst>
        </xdr:cNvPr>
        <xdr:cNvSpPr txBox="1"/>
      </xdr:nvSpPr>
      <xdr:spPr>
        <a:xfrm>
          <a:off x="6667500" y="1400175"/>
          <a:ext cx="1581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Satisfaction Score</a:t>
          </a:r>
        </a:p>
      </xdr:txBody>
    </xdr:sp>
    <xdr:clientData/>
  </xdr:twoCellAnchor>
  <xdr:twoCellAnchor editAs="absolute">
    <xdr:from>
      <xdr:col>8</xdr:col>
      <xdr:colOff>38101</xdr:colOff>
      <xdr:row>5</xdr:row>
      <xdr:rowOff>142875</xdr:rowOff>
    </xdr:from>
    <xdr:to>
      <xdr:col>9</xdr:col>
      <xdr:colOff>47625</xdr:colOff>
      <xdr:row>7</xdr:row>
      <xdr:rowOff>38100</xdr:rowOff>
    </xdr:to>
    <xdr:sp macro="" textlink="'Pivot Report'!G15">
      <xdr:nvSpPr>
        <xdr:cNvPr id="62" name="TextBox 61">
          <a:extLst>
            <a:ext uri="{FF2B5EF4-FFF2-40B4-BE49-F238E27FC236}">
              <a16:creationId xmlns:a16="http://schemas.microsoft.com/office/drawing/2014/main" id="{E23B1E66-9EEC-0323-1E42-7C8D84B48333}"/>
            </a:ext>
          </a:extLst>
        </xdr:cNvPr>
        <xdr:cNvSpPr txBox="1"/>
      </xdr:nvSpPr>
      <xdr:spPr>
        <a:xfrm>
          <a:off x="4914901" y="1095375"/>
          <a:ext cx="6191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6402F4-221F-4A9A-B624-BB4E0E9B81D6}" type="TxLink">
            <a:rPr lang="en-US" sz="1600" b="0" i="0" u="none" strike="noStrike">
              <a:solidFill>
                <a:srgbClr val="000000"/>
              </a:solidFill>
              <a:latin typeface="Aptos Narrow"/>
            </a:rPr>
            <a:pPr/>
            <a:t>35.81</a:t>
          </a:fld>
          <a:endParaRPr lang="en-US" sz="1600"/>
        </a:p>
      </xdr:txBody>
    </xdr:sp>
    <xdr:clientData/>
  </xdr:twoCellAnchor>
  <xdr:twoCellAnchor>
    <xdr:from>
      <xdr:col>11</xdr:col>
      <xdr:colOff>504825</xdr:colOff>
      <xdr:row>5</xdr:row>
      <xdr:rowOff>142875</xdr:rowOff>
    </xdr:from>
    <xdr:to>
      <xdr:col>12</xdr:col>
      <xdr:colOff>390524</xdr:colOff>
      <xdr:row>7</xdr:row>
      <xdr:rowOff>19050</xdr:rowOff>
    </xdr:to>
    <xdr:sp macro="" textlink="'Pivot Report'!G21">
      <xdr:nvSpPr>
        <xdr:cNvPr id="63" name="TextBox 62">
          <a:extLst>
            <a:ext uri="{FF2B5EF4-FFF2-40B4-BE49-F238E27FC236}">
              <a16:creationId xmlns:a16="http://schemas.microsoft.com/office/drawing/2014/main" id="{2DE64343-42F1-48D9-BF2F-827FAE6D7376}"/>
            </a:ext>
          </a:extLst>
        </xdr:cNvPr>
        <xdr:cNvSpPr txBox="1"/>
      </xdr:nvSpPr>
      <xdr:spPr>
        <a:xfrm>
          <a:off x="7210425" y="1095375"/>
          <a:ext cx="4952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ED18E7-D8BD-4E3A-B2BE-948108EEC57D}" type="TxLink">
            <a:rPr lang="en-US" sz="1600" b="0" i="0" u="none" strike="noStrike">
              <a:solidFill>
                <a:srgbClr val="000000"/>
              </a:solidFill>
              <a:latin typeface="Aptos Narrow"/>
            </a:rPr>
            <a:pPr/>
            <a:t>5.15</a:t>
          </a:fld>
          <a:endParaRPr lang="en-US" sz="1600"/>
        </a:p>
      </xdr:txBody>
    </xdr:sp>
    <xdr:clientData/>
  </xdr:twoCellAnchor>
  <xdr:twoCellAnchor editAs="oneCell">
    <xdr:from>
      <xdr:col>5</xdr:col>
      <xdr:colOff>581025</xdr:colOff>
      <xdr:row>5</xdr:row>
      <xdr:rowOff>57151</xdr:rowOff>
    </xdr:from>
    <xdr:to>
      <xdr:col>6</xdr:col>
      <xdr:colOff>314325</xdr:colOff>
      <xdr:row>6</xdr:row>
      <xdr:rowOff>133350</xdr:rowOff>
    </xdr:to>
    <xdr:pic>
      <xdr:nvPicPr>
        <xdr:cNvPr id="65" name="Graphic 64" descr="User with solid fill">
          <a:extLst>
            <a:ext uri="{FF2B5EF4-FFF2-40B4-BE49-F238E27FC236}">
              <a16:creationId xmlns:a16="http://schemas.microsoft.com/office/drawing/2014/main" id="{3F626CAD-8018-C30D-DE75-86CE72A54A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29025" y="1009651"/>
          <a:ext cx="342900" cy="266699"/>
        </a:xfrm>
        <a:prstGeom prst="rect">
          <a:avLst/>
        </a:prstGeom>
      </xdr:spPr>
    </xdr:pic>
    <xdr:clientData/>
  </xdr:twoCellAnchor>
  <xdr:twoCellAnchor editAs="oneCell">
    <xdr:from>
      <xdr:col>9</xdr:col>
      <xdr:colOff>352425</xdr:colOff>
      <xdr:row>5</xdr:row>
      <xdr:rowOff>95250</xdr:rowOff>
    </xdr:from>
    <xdr:to>
      <xdr:col>10</xdr:col>
      <xdr:colOff>57150</xdr:colOff>
      <xdr:row>6</xdr:row>
      <xdr:rowOff>104775</xdr:rowOff>
    </xdr:to>
    <xdr:pic>
      <xdr:nvPicPr>
        <xdr:cNvPr id="67" name="Graphic 66" descr="Hourglass Finished with solid fill">
          <a:extLst>
            <a:ext uri="{FF2B5EF4-FFF2-40B4-BE49-F238E27FC236}">
              <a16:creationId xmlns:a16="http://schemas.microsoft.com/office/drawing/2014/main" id="{7778F337-9164-6112-DB14-1F6F58E15A5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838825" y="1047750"/>
          <a:ext cx="314325" cy="200025"/>
        </a:xfrm>
        <a:prstGeom prst="rect">
          <a:avLst/>
        </a:prstGeom>
        <a:scene3d>
          <a:camera prst="orthographicFront">
            <a:rot lat="0" lon="0" rev="10799999"/>
          </a:camera>
          <a:lightRig rig="threePt" dir="t"/>
        </a:scene3d>
      </xdr:spPr>
    </xdr:pic>
    <xdr:clientData/>
  </xdr:twoCellAnchor>
  <xdr:twoCellAnchor editAs="oneCell">
    <xdr:from>
      <xdr:col>13</xdr:col>
      <xdr:colOff>190499</xdr:colOff>
      <xdr:row>5</xdr:row>
      <xdr:rowOff>57149</xdr:rowOff>
    </xdr:from>
    <xdr:to>
      <xdr:col>13</xdr:col>
      <xdr:colOff>485775</xdr:colOff>
      <xdr:row>6</xdr:row>
      <xdr:rowOff>161925</xdr:rowOff>
    </xdr:to>
    <xdr:pic>
      <xdr:nvPicPr>
        <xdr:cNvPr id="69" name="Graphic 68" descr="Badge New with solid fill">
          <a:extLst>
            <a:ext uri="{FF2B5EF4-FFF2-40B4-BE49-F238E27FC236}">
              <a16:creationId xmlns:a16="http://schemas.microsoft.com/office/drawing/2014/main" id="{606E4035-FF27-01CA-D247-9246BB2D6B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15299" y="1009649"/>
          <a:ext cx="295276" cy="295276"/>
        </a:xfrm>
        <a:prstGeom prst="rect">
          <a:avLst/>
        </a:prstGeom>
      </xdr:spPr>
    </xdr:pic>
    <xdr:clientData/>
  </xdr:twoCellAnchor>
  <xdr:twoCellAnchor editAs="oneCell">
    <xdr:from>
      <xdr:col>0</xdr:col>
      <xdr:colOff>180975</xdr:colOff>
      <xdr:row>5</xdr:row>
      <xdr:rowOff>28574</xdr:rowOff>
    </xdr:from>
    <xdr:to>
      <xdr:col>2</xdr:col>
      <xdr:colOff>466725</xdr:colOff>
      <xdr:row>22</xdr:row>
      <xdr:rowOff>57149</xdr:rowOff>
    </xdr:to>
    <mc:AlternateContent xmlns:mc="http://schemas.openxmlformats.org/markup-compatibility/2006" xmlns:a14="http://schemas.microsoft.com/office/drawing/2010/main">
      <mc:Choice Requires="a14">
        <xdr:graphicFrame macro="">
          <xdr:nvGraphicFramePr>
            <xdr:cNvPr id="70" name="Date (Month)">
              <a:extLst>
                <a:ext uri="{FF2B5EF4-FFF2-40B4-BE49-F238E27FC236}">
                  <a16:creationId xmlns:a16="http://schemas.microsoft.com/office/drawing/2014/main" id="{7A6607AE-82C0-4B52-B5DC-88CD754C5B6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0975" y="981075"/>
              <a:ext cx="150495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552451</xdr:colOff>
      <xdr:row>5</xdr:row>
      <xdr:rowOff>95250</xdr:rowOff>
    </xdr:from>
    <xdr:to>
      <xdr:col>6</xdr:col>
      <xdr:colOff>361951</xdr:colOff>
      <xdr:row>10</xdr:row>
      <xdr:rowOff>161926</xdr:rowOff>
    </xdr:to>
    <xdr:graphicFrame macro="">
      <xdr:nvGraphicFramePr>
        <xdr:cNvPr id="71" name="Chart 70">
          <a:hlinkClick xmlns:r="http://schemas.openxmlformats.org/officeDocument/2006/relationships" r:id="rId8"/>
          <a:extLst>
            <a:ext uri="{FF2B5EF4-FFF2-40B4-BE49-F238E27FC236}">
              <a16:creationId xmlns:a16="http://schemas.microsoft.com/office/drawing/2014/main" id="{10F011F8-71B8-4D8D-A4F3-928A0880F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47625</xdr:colOff>
      <xdr:row>9</xdr:row>
      <xdr:rowOff>0</xdr:rowOff>
    </xdr:from>
    <xdr:to>
      <xdr:col>10</xdr:col>
      <xdr:colOff>38100</xdr:colOff>
      <xdr:row>10</xdr:row>
      <xdr:rowOff>142875</xdr:rowOff>
    </xdr:to>
    <xdr:graphicFrame macro="">
      <xdr:nvGraphicFramePr>
        <xdr:cNvPr id="18" name="Chart 17">
          <a:hlinkClick xmlns:r="http://schemas.openxmlformats.org/officeDocument/2006/relationships" r:id="rId10"/>
          <a:extLst>
            <a:ext uri="{FF2B5EF4-FFF2-40B4-BE49-F238E27FC236}">
              <a16:creationId xmlns:a16="http://schemas.microsoft.com/office/drawing/2014/main" id="{B44FBE8D-417A-41F9-B616-82711621F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409575</xdr:colOff>
      <xdr:row>8</xdr:row>
      <xdr:rowOff>180974</xdr:rowOff>
    </xdr:from>
    <xdr:to>
      <xdr:col>13</xdr:col>
      <xdr:colOff>485774</xdr:colOff>
      <xdr:row>10</xdr:row>
      <xdr:rowOff>161919</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AA3A369D-FE29-4697-A2BF-5A75F2A33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561976</xdr:colOff>
          <xdr:row>11</xdr:row>
          <xdr:rowOff>19050</xdr:rowOff>
        </xdr:from>
        <xdr:to>
          <xdr:col>13</xdr:col>
          <xdr:colOff>590550</xdr:colOff>
          <xdr:row>15</xdr:row>
          <xdr:rowOff>66675</xdr:rowOff>
        </xdr:to>
        <xdr:pic>
          <xdr:nvPicPr>
            <xdr:cNvPr id="25" name="Picture 24">
              <a:extLst>
                <a:ext uri="{FF2B5EF4-FFF2-40B4-BE49-F238E27FC236}">
                  <a16:creationId xmlns:a16="http://schemas.microsoft.com/office/drawing/2014/main" id="{A654C947-51AB-7C1E-7787-3C0702E92D91}"/>
                </a:ext>
              </a:extLst>
            </xdr:cNvPr>
            <xdr:cNvPicPr>
              <a:picLocks noChangeAspect="1" noChangeArrowheads="1"/>
              <a:extLst>
                <a:ext uri="{84589F7E-364E-4C9E-8A38-B11213B215E9}">
                  <a14:cameraTool cellRange="'Pivot Report'!$D$44:$G$46" spid="_x0000_s1089"/>
                </a:ext>
              </a:extLst>
            </xdr:cNvPicPr>
          </xdr:nvPicPr>
          <xdr:blipFill>
            <a:blip xmlns:r="http://schemas.openxmlformats.org/officeDocument/2006/relationships" r:embed="rId14"/>
            <a:srcRect/>
            <a:stretch>
              <a:fillRect/>
            </a:stretch>
          </xdr:blipFill>
          <xdr:spPr bwMode="auto">
            <a:xfrm>
              <a:off x="1781176" y="2114550"/>
              <a:ext cx="6734174" cy="8096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9525</xdr:colOff>
      <xdr:row>15</xdr:row>
      <xdr:rowOff>152400</xdr:rowOff>
    </xdr:from>
    <xdr:to>
      <xdr:col>13</xdr:col>
      <xdr:colOff>581025</xdr:colOff>
      <xdr:row>21</xdr:row>
      <xdr:rowOff>123826</xdr:rowOff>
    </xdr:to>
    <xdr:graphicFrame macro="">
      <xdr:nvGraphicFramePr>
        <xdr:cNvPr id="26" name="Chart 25">
          <a:extLst>
            <a:ext uri="{FF2B5EF4-FFF2-40B4-BE49-F238E27FC236}">
              <a16:creationId xmlns:a16="http://schemas.microsoft.com/office/drawing/2014/main" id="{62E43696-DAEF-4801-B434-4464F0331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38100</xdr:colOff>
      <xdr:row>21</xdr:row>
      <xdr:rowOff>38099</xdr:rowOff>
    </xdr:from>
    <xdr:to>
      <xdr:col>9</xdr:col>
      <xdr:colOff>276225</xdr:colOff>
      <xdr:row>22</xdr:row>
      <xdr:rowOff>66675</xdr:rowOff>
    </xdr:to>
    <xdr:sp macro="" textlink="">
      <xdr:nvSpPr>
        <xdr:cNvPr id="27" name="TextBox 26">
          <a:extLst>
            <a:ext uri="{FF2B5EF4-FFF2-40B4-BE49-F238E27FC236}">
              <a16:creationId xmlns:a16="http://schemas.microsoft.com/office/drawing/2014/main" id="{0E1DEDB1-5B2D-FD40-89F6-7B1F2B1C08F1}"/>
            </a:ext>
          </a:extLst>
        </xdr:cNvPr>
        <xdr:cNvSpPr txBox="1"/>
      </xdr:nvSpPr>
      <xdr:spPr>
        <a:xfrm>
          <a:off x="4305300" y="4038599"/>
          <a:ext cx="14573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 of patients by age group</a:t>
          </a:r>
        </a:p>
      </xdr:txBody>
    </xdr:sp>
    <xdr:clientData/>
  </xdr:twoCellAnchor>
  <xdr:twoCellAnchor editAs="absolute">
    <xdr:from>
      <xdr:col>14</xdr:col>
      <xdr:colOff>114299</xdr:colOff>
      <xdr:row>1</xdr:row>
      <xdr:rowOff>47626</xdr:rowOff>
    </xdr:from>
    <xdr:to>
      <xdr:col>16</xdr:col>
      <xdr:colOff>447675</xdr:colOff>
      <xdr:row>9</xdr:row>
      <xdr:rowOff>76200</xdr:rowOff>
    </xdr:to>
    <xdr:graphicFrame macro="">
      <xdr:nvGraphicFramePr>
        <xdr:cNvPr id="28" name="Chart 27">
          <a:extLst>
            <a:ext uri="{FF2B5EF4-FFF2-40B4-BE49-F238E27FC236}">
              <a16:creationId xmlns:a16="http://schemas.microsoft.com/office/drawing/2014/main" id="{CEEB2195-C91F-4AEA-9BFA-DC3FFD681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14</xdr:col>
      <xdr:colOff>238125</xdr:colOff>
      <xdr:row>9</xdr:row>
      <xdr:rowOff>47625</xdr:rowOff>
    </xdr:from>
    <xdr:to>
      <xdr:col>16</xdr:col>
      <xdr:colOff>542925</xdr:colOff>
      <xdr:row>10</xdr:row>
      <xdr:rowOff>76200</xdr:rowOff>
    </xdr:to>
    <xdr:sp macro="" textlink="">
      <xdr:nvSpPr>
        <xdr:cNvPr id="29" name="TextBox 28">
          <a:extLst>
            <a:ext uri="{FF2B5EF4-FFF2-40B4-BE49-F238E27FC236}">
              <a16:creationId xmlns:a16="http://schemas.microsoft.com/office/drawing/2014/main" id="{B5BA5C1F-76E0-D380-94FF-268C057CC9ED}"/>
            </a:ext>
          </a:extLst>
        </xdr:cNvPr>
        <xdr:cNvSpPr txBox="1"/>
      </xdr:nvSpPr>
      <xdr:spPr>
        <a:xfrm>
          <a:off x="8772525" y="1762125"/>
          <a:ext cx="1524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Patient Attend Status</a:t>
          </a:r>
        </a:p>
      </xdr:txBody>
    </xdr:sp>
    <xdr:clientData/>
  </xdr:twoCellAnchor>
  <xdr:twoCellAnchor editAs="absolute">
    <xdr:from>
      <xdr:col>17</xdr:col>
      <xdr:colOff>304799</xdr:colOff>
      <xdr:row>1</xdr:row>
      <xdr:rowOff>66675</xdr:rowOff>
    </xdr:from>
    <xdr:to>
      <xdr:col>20</xdr:col>
      <xdr:colOff>152400</xdr:colOff>
      <xdr:row>10</xdr:row>
      <xdr:rowOff>66675</xdr:rowOff>
    </xdr:to>
    <xdr:graphicFrame macro="">
      <xdr:nvGraphicFramePr>
        <xdr:cNvPr id="30" name="Chart 29">
          <a:extLst>
            <a:ext uri="{FF2B5EF4-FFF2-40B4-BE49-F238E27FC236}">
              <a16:creationId xmlns:a16="http://schemas.microsoft.com/office/drawing/2014/main" id="{DE708D45-0EA7-42D6-9F7B-EEBE073C3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17</xdr:col>
      <xdr:colOff>390525</xdr:colOff>
      <xdr:row>9</xdr:row>
      <xdr:rowOff>66675</xdr:rowOff>
    </xdr:from>
    <xdr:to>
      <xdr:col>20</xdr:col>
      <xdr:colOff>47625</xdr:colOff>
      <xdr:row>10</xdr:row>
      <xdr:rowOff>180975</xdr:rowOff>
    </xdr:to>
    <xdr:sp macro="" textlink="">
      <xdr:nvSpPr>
        <xdr:cNvPr id="31" name="TextBox 30">
          <a:extLst>
            <a:ext uri="{FF2B5EF4-FFF2-40B4-BE49-F238E27FC236}">
              <a16:creationId xmlns:a16="http://schemas.microsoft.com/office/drawing/2014/main" id="{DAD66E67-8401-E49E-5B1C-0CF1AD0A995E}"/>
            </a:ext>
          </a:extLst>
        </xdr:cNvPr>
        <xdr:cNvSpPr txBox="1"/>
      </xdr:nvSpPr>
      <xdr:spPr>
        <a:xfrm>
          <a:off x="10753725" y="1781175"/>
          <a:ext cx="1485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Gender wise Analysis</a:t>
          </a:r>
        </a:p>
      </xdr:txBody>
    </xdr:sp>
    <xdr:clientData/>
  </xdr:twoCellAnchor>
  <xdr:twoCellAnchor>
    <xdr:from>
      <xdr:col>14</xdr:col>
      <xdr:colOff>142875</xdr:colOff>
      <xdr:row>12</xdr:row>
      <xdr:rowOff>28574</xdr:rowOff>
    </xdr:from>
    <xdr:to>
      <xdr:col>20</xdr:col>
      <xdr:colOff>104774</xdr:colOff>
      <xdr:row>22</xdr:row>
      <xdr:rowOff>66675</xdr:rowOff>
    </xdr:to>
    <xdr:graphicFrame macro="">
      <xdr:nvGraphicFramePr>
        <xdr:cNvPr id="32" name="Chart 31">
          <a:extLst>
            <a:ext uri="{FF2B5EF4-FFF2-40B4-BE49-F238E27FC236}">
              <a16:creationId xmlns:a16="http://schemas.microsoft.com/office/drawing/2014/main" id="{4FBDC162-6EB1-4DD9-99BD-8D6D85297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238125</xdr:colOff>
      <xdr:row>0</xdr:row>
      <xdr:rowOff>161925</xdr:rowOff>
    </xdr:from>
    <xdr:to>
      <xdr:col>13</xdr:col>
      <xdr:colOff>514350</xdr:colOff>
      <xdr:row>4</xdr:row>
      <xdr:rowOff>161925</xdr:rowOff>
    </xdr:to>
    <mc:AlternateContent xmlns:mc="http://schemas.openxmlformats.org/markup-compatibility/2006" xmlns:a14="http://schemas.microsoft.com/office/drawing/2010/main">
      <mc:Choice Requires="a14">
        <xdr:graphicFrame macro="">
          <xdr:nvGraphicFramePr>
            <xdr:cNvPr id="34" name="Date (Year)">
              <a:extLst>
                <a:ext uri="{FF2B5EF4-FFF2-40B4-BE49-F238E27FC236}">
                  <a16:creationId xmlns:a16="http://schemas.microsoft.com/office/drawing/2014/main" id="{22065377-375F-4780-9991-B857D59362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14926" y="161925"/>
              <a:ext cx="32575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0.08158</cdr:x>
      <cdr:y>0.83824</cdr:y>
    </cdr:from>
    <cdr:to>
      <cdr:x>0.94737</cdr:x>
      <cdr:y>0.97059</cdr:y>
    </cdr:to>
    <cdr:sp macro="" textlink="">
      <cdr:nvSpPr>
        <cdr:cNvPr id="2" name="TextBox 1">
          <a:extLst xmlns:a="http://schemas.openxmlformats.org/drawingml/2006/main">
            <a:ext uri="{FF2B5EF4-FFF2-40B4-BE49-F238E27FC236}">
              <a16:creationId xmlns:a16="http://schemas.microsoft.com/office/drawing/2014/main" id="{EB379F9F-BC3E-71B1-36E9-7ABAA6E4DBA6}"/>
            </a:ext>
          </a:extLst>
        </cdr:cNvPr>
        <cdr:cNvSpPr txBox="1"/>
      </cdr:nvSpPr>
      <cdr:spPr>
        <a:xfrm xmlns:a="http://schemas.openxmlformats.org/drawingml/2006/main">
          <a:off x="295275" y="1628776"/>
          <a:ext cx="3133725"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0.06579</cdr:x>
      <cdr:y>0.83333</cdr:y>
    </cdr:from>
    <cdr:to>
      <cdr:x>0.94474</cdr:x>
      <cdr:y>0.96569</cdr:y>
    </cdr:to>
    <cdr:sp macro="" textlink="">
      <cdr:nvSpPr>
        <cdr:cNvPr id="3" name="TextBox 2">
          <a:extLst xmlns:a="http://schemas.openxmlformats.org/drawingml/2006/main">
            <a:ext uri="{FF2B5EF4-FFF2-40B4-BE49-F238E27FC236}">
              <a16:creationId xmlns:a16="http://schemas.microsoft.com/office/drawing/2014/main" id="{7123022F-ACCF-4D35-45E7-B2626D3E8512}"/>
            </a:ext>
          </a:extLst>
        </cdr:cNvPr>
        <cdr:cNvSpPr txBox="1"/>
      </cdr:nvSpPr>
      <cdr:spPr>
        <a:xfrm xmlns:a="http://schemas.openxmlformats.org/drawingml/2006/main">
          <a:off x="238125" y="1619251"/>
          <a:ext cx="31813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0.15526</cdr:x>
      <cdr:y>0.85294</cdr:y>
    </cdr:from>
    <cdr:to>
      <cdr:x>0.88421</cdr:x>
      <cdr:y>1</cdr:y>
    </cdr:to>
    <cdr:sp macro="" textlink="">
      <cdr:nvSpPr>
        <cdr:cNvPr id="4" name="TextBox 3">
          <a:extLst xmlns:a="http://schemas.openxmlformats.org/drawingml/2006/main">
            <a:ext uri="{FF2B5EF4-FFF2-40B4-BE49-F238E27FC236}">
              <a16:creationId xmlns:a16="http://schemas.microsoft.com/office/drawing/2014/main" id="{B2536B5E-50F9-5D62-7095-4A1A37615F9B}"/>
            </a:ext>
          </a:extLst>
        </cdr:cNvPr>
        <cdr:cNvSpPr txBox="1"/>
      </cdr:nvSpPr>
      <cdr:spPr>
        <a:xfrm xmlns:a="http://schemas.openxmlformats.org/drawingml/2006/main">
          <a:off x="561976" y="1657351"/>
          <a:ext cx="2638424"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r>
            <a:rPr lang="en-US" sz="1200" kern="1200" baseline="0"/>
            <a:t>No. of Patients by Departmental Referal</a:t>
          </a:r>
          <a:endParaRPr lang="en-US" sz="12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723900</xdr:colOff>
      <xdr:row>44</xdr:row>
      <xdr:rowOff>57149</xdr:rowOff>
    </xdr:from>
    <xdr:to>
      <xdr:col>11</xdr:col>
      <xdr:colOff>409575</xdr:colOff>
      <xdr:row>56</xdr:row>
      <xdr:rowOff>104774</xdr:rowOff>
    </xdr:to>
    <xdr:graphicFrame macro="">
      <xdr:nvGraphicFramePr>
        <xdr:cNvPr id="4" name="Chart 3">
          <a:extLst>
            <a:ext uri="{FF2B5EF4-FFF2-40B4-BE49-F238E27FC236}">
              <a16:creationId xmlns:a16="http://schemas.microsoft.com/office/drawing/2014/main" id="{33FD7280-9999-FDAA-DE4C-78CA75A48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600074</xdr:colOff>
      <xdr:row>1</xdr:row>
      <xdr:rowOff>38100</xdr:rowOff>
    </xdr:from>
    <xdr:to>
      <xdr:col>15</xdr:col>
      <xdr:colOff>171449</xdr:colOff>
      <xdr:row>19</xdr:row>
      <xdr:rowOff>66675</xdr:rowOff>
    </xdr:to>
    <xdr:graphicFrame macro="">
      <xdr:nvGraphicFramePr>
        <xdr:cNvPr id="2" name="Chart 1">
          <a:extLst>
            <a:ext uri="{FF2B5EF4-FFF2-40B4-BE49-F238E27FC236}">
              <a16:creationId xmlns:a16="http://schemas.microsoft.com/office/drawing/2014/main" id="{0268A50C-33EC-4828-9D1C-A7E56AF41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xdr:colOff>
      <xdr:row>17</xdr:row>
      <xdr:rowOff>161925</xdr:rowOff>
    </xdr:from>
    <xdr:to>
      <xdr:col>11</xdr:col>
      <xdr:colOff>552450</xdr:colOff>
      <xdr:row>19</xdr:row>
      <xdr:rowOff>38100</xdr:rowOff>
    </xdr:to>
    <xdr:sp macro="" textlink="">
      <xdr:nvSpPr>
        <xdr:cNvPr id="3" name="TextBox 2">
          <a:extLst>
            <a:ext uri="{FF2B5EF4-FFF2-40B4-BE49-F238E27FC236}">
              <a16:creationId xmlns:a16="http://schemas.microsoft.com/office/drawing/2014/main" id="{FDD1ABA3-02D7-BBC7-AB97-E1BCB410F2DB}"/>
            </a:ext>
          </a:extLst>
        </xdr:cNvPr>
        <xdr:cNvSpPr txBox="1"/>
      </xdr:nvSpPr>
      <xdr:spPr>
        <a:xfrm>
          <a:off x="1400175" y="3400425"/>
          <a:ext cx="58578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Showing a Daily Trend with an area sparkline to spot patterns like busy days or seasonal trends</a:t>
          </a:r>
        </a:p>
      </xdr:txBody>
    </xdr:sp>
    <xdr:clientData/>
  </xdr:twoCellAnchor>
  <xdr:twoCellAnchor editAs="oneCell">
    <xdr:from>
      <xdr:col>1</xdr:col>
      <xdr:colOff>38100</xdr:colOff>
      <xdr:row>1</xdr:row>
      <xdr:rowOff>28575</xdr:rowOff>
    </xdr:from>
    <xdr:to>
      <xdr:col>1</xdr:col>
      <xdr:colOff>523875</xdr:colOff>
      <xdr:row>3</xdr:row>
      <xdr:rowOff>133350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CDFA0A87-0E54-6801-468D-8E8BB63BE9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7700" y="219075"/>
          <a:ext cx="485775" cy="485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533400</xdr:colOff>
      <xdr:row>1</xdr:row>
      <xdr:rowOff>104775</xdr:rowOff>
    </xdr:from>
    <xdr:to>
      <xdr:col>15</xdr:col>
      <xdr:colOff>209550</xdr:colOff>
      <xdr:row>18</xdr:row>
      <xdr:rowOff>0</xdr:rowOff>
    </xdr:to>
    <xdr:graphicFrame macro="">
      <xdr:nvGraphicFramePr>
        <xdr:cNvPr id="2" name="Chart 1">
          <a:extLst>
            <a:ext uri="{FF2B5EF4-FFF2-40B4-BE49-F238E27FC236}">
              <a16:creationId xmlns:a16="http://schemas.microsoft.com/office/drawing/2014/main" id="{66E48E97-4E01-4E68-887C-AD1379AE6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228599</xdr:colOff>
      <xdr:row>18</xdr:row>
      <xdr:rowOff>19050</xdr:rowOff>
    </xdr:from>
    <xdr:to>
      <xdr:col>13</xdr:col>
      <xdr:colOff>209550</xdr:colOff>
      <xdr:row>19</xdr:row>
      <xdr:rowOff>95250</xdr:rowOff>
    </xdr:to>
    <xdr:sp macro="" textlink="">
      <xdr:nvSpPr>
        <xdr:cNvPr id="3" name="TextBox 2">
          <a:extLst>
            <a:ext uri="{FF2B5EF4-FFF2-40B4-BE49-F238E27FC236}">
              <a16:creationId xmlns:a16="http://schemas.microsoft.com/office/drawing/2014/main" id="{50120FDB-A6FE-70A8-CAB4-3B3E809392EC}"/>
            </a:ext>
          </a:extLst>
        </xdr:cNvPr>
        <xdr:cNvSpPr txBox="1"/>
      </xdr:nvSpPr>
      <xdr:spPr>
        <a:xfrm>
          <a:off x="2057399" y="3448050"/>
          <a:ext cx="607695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Area</a:t>
          </a:r>
          <a:r>
            <a:rPr lang="en-US" sz="1100" baseline="0"/>
            <a:t> chart to track daily changes and highlight days with longer wait times that might need improvements.</a:t>
          </a:r>
          <a:endParaRPr lang="en-US"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1.13377E-7</cdr:x>
      <cdr:y>3.19109E-7</cdr:y>
    </cdr:from>
    <cdr:to>
      <cdr:x>0.0594</cdr:x>
      <cdr:y>0.16717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8456BE3-66FE-AA4F-CA05-FCFD4D7A4C5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523874" cy="523874"/>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523875</xdr:colOff>
      <xdr:row>1</xdr:row>
      <xdr:rowOff>9525</xdr:rowOff>
    </xdr:from>
    <xdr:to>
      <xdr:col>19</xdr:col>
      <xdr:colOff>142875</xdr:colOff>
      <xdr:row>20</xdr:row>
      <xdr:rowOff>57150</xdr:rowOff>
    </xdr:to>
    <xdr:graphicFrame macro="">
      <xdr:nvGraphicFramePr>
        <xdr:cNvPr id="2" name="Chart 1">
          <a:extLst>
            <a:ext uri="{FF2B5EF4-FFF2-40B4-BE49-F238E27FC236}">
              <a16:creationId xmlns:a16="http://schemas.microsoft.com/office/drawing/2014/main" id="{0B4BFC67-E598-4CCD-B5E4-8F8E80C93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20</xdr:row>
      <xdr:rowOff>171450</xdr:rowOff>
    </xdr:from>
    <xdr:to>
      <xdr:col>15</xdr:col>
      <xdr:colOff>200025</xdr:colOff>
      <xdr:row>22</xdr:row>
      <xdr:rowOff>114300</xdr:rowOff>
    </xdr:to>
    <xdr:sp macro="" textlink="">
      <xdr:nvSpPr>
        <xdr:cNvPr id="3" name="TextBox 2">
          <a:extLst>
            <a:ext uri="{FF2B5EF4-FFF2-40B4-BE49-F238E27FC236}">
              <a16:creationId xmlns:a16="http://schemas.microsoft.com/office/drawing/2014/main" id="{500E0B39-12D4-12C3-86D6-2BB4CB85BC5C}"/>
            </a:ext>
          </a:extLst>
        </xdr:cNvPr>
        <xdr:cNvSpPr txBox="1"/>
      </xdr:nvSpPr>
      <xdr:spPr>
        <a:xfrm>
          <a:off x="3429000" y="3981450"/>
          <a:ext cx="59150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 area Chart to show trends,</a:t>
          </a:r>
          <a:r>
            <a:rPr lang="en-US" sz="1100" baseline="0"/>
            <a:t> spot drops in satisfaction, and link them to busy times or challenges</a:t>
          </a:r>
          <a:endParaRPr lang="en-US" sz="1100"/>
        </a:p>
      </xdr:txBody>
    </xdr:sp>
    <xdr:clientData/>
  </xdr:twoCellAnchor>
</xdr:wsDr>
</file>

<file path=xl/drawings/drawing8.xml><?xml version="1.0" encoding="utf-8"?>
<c:userShapes xmlns:c="http://schemas.openxmlformats.org/drawingml/2006/chart">
  <cdr:relSizeAnchor xmlns:cdr="http://schemas.openxmlformats.org/drawingml/2006/chartDrawing">
    <cdr:from>
      <cdr:x>8.92746E-8</cdr:x>
      <cdr:y>0</cdr:y>
    </cdr:from>
    <cdr:to>
      <cdr:x>0.04592</cdr:x>
      <cdr:y>0.10649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114F11D-2001-621A-3611-BFA1F6260F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514350" cy="3905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11342592" backgroundQuery="1" createdVersion="8" refreshedVersion="8" minRefreshableVersion="3" recordCount="0" supportSubquery="1" supportAdvancedDrill="1" xr:uid="{F56AE0F4-BC39-4487-873D-C27CAC146DE6}">
  <cacheSource type="external" connectionId="3"/>
  <cacheFields count="4">
    <cacheField name="[Calenda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125" backgroundQuery="1" createdVersion="8" refreshedVersion="8" minRefreshableVersion="3" recordCount="0" supportSubquery="1" supportAdvancedDrill="1" xr:uid="{05F4E3EB-A08A-4CE7-9AD3-046D72D3AF35}">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14930556" backgroundQuery="1" createdVersion="8" refreshedVersion="8" minRefreshableVersion="3" recordCount="0" supportSubquery="1" supportAdvancedDrill="1" xr:uid="{54868926-625D-4ACA-841C-124FB455649E}">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17939812" backgroundQuery="1" createdVersion="8" refreshedVersion="8" minRefreshableVersion="3" recordCount="0" supportSubquery="1" supportAdvancedDrill="1" xr:uid="{43DF7A6C-44A4-46FA-961E-FAD8A0EC0144}">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18749997" backgroundQuery="1" createdVersion="8" refreshedVersion="8" minRefreshableVersion="3" recordCount="0" supportSubquery="1" supportAdvancedDrill="1" xr:uid="{31C35596-22FB-4558-9011-90B46436F730}">
  <cacheSource type="external" connectionId="3"/>
  <cacheFields count="4">
    <cacheField name="[Calenda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22106483" backgroundQuery="1" createdVersion="8" refreshedVersion="8" minRefreshableVersion="3" recordCount="0" supportSubquery="1" supportAdvancedDrill="1" xr:uid="{AC077DDA-61EC-4BCD-BD18-CE910499933E}">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25347224" backgroundQuery="1" createdVersion="8" refreshedVersion="8" minRefreshableVersion="3" recordCount="0" supportSubquery="1" supportAdvancedDrill="1" xr:uid="{2C688C1C-896F-4314-B416-06EA36BF115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26273148" backgroundQuery="1" createdVersion="8" refreshedVersion="8" minRefreshableVersion="3" recordCount="0" supportSubquery="1" supportAdvancedDrill="1" xr:uid="{5A1FC122-551F-4440-B14E-55900EAE3F7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29050927" backgroundQuery="1" createdVersion="8" refreshedVersion="8" minRefreshableVersion="3" recordCount="0" supportSubquery="1" supportAdvancedDrill="1" xr:uid="{2F1F46D9-D42D-4DED-8424-E698FC7B9C2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31828705" backgroundQuery="1" createdVersion="8" refreshedVersion="8" minRefreshableVersion="3" recordCount="0" supportSubquery="1" supportAdvancedDrill="1" xr:uid="{EA97236B-A595-4FE9-B954-867253406332}">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in kumar pandey" refreshedDate="45954.031734837961" backgroundQuery="1" createdVersion="8" refreshedVersion="8" minRefreshableVersion="3" recordCount="0" supportSubquery="1" supportAdvancedDrill="1" xr:uid="{026896EA-1837-46B1-B447-C11E7478A555}">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29.309724189814" backgroundQuery="1" createdVersion="3" refreshedVersion="8" minRefreshableVersion="3" recordCount="0" supportSubquery="1" supportAdvancedDrill="1" xr:uid="{18BBB660-C711-4D07-A1DB-D1BD67E8842B}">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565550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CB2364-6C70-41FE-B6FA-8B9BECEFCD2A}" name="PivotTable2" cacheId="26" applyNumberFormats="0" applyBorderFormats="0" applyFontFormats="0" applyPatternFormats="0" applyAlignmentFormats="0" applyWidthHeightFormats="1" dataCaption="Values" tag="38f14f80-f6eb-499d-be71-f4c4ba86a4d3" updatedVersion="8" minRefreshableVersion="3" subtotalHiddenItems="1" rowGrandTotals="0" colGrandTotals="0" itemPrintTitles="1" createdVersion="8" indent="0" outline="1" outlineData="1" multipleFieldFilters="0" chartFormat="29">
  <location ref="M5: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Satisfaction Score" fld="2" subtotal="average" baseField="0" baseItem="0"/>
  </dataFields>
  <formats count="1">
    <format dxfId="14">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62280D-2C68-4612-A07F-EBFFAB3B45E7}" name="PivotTable9" cacheId="38"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14">
  <location ref="C78:D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9FC7B-80FF-46DD-B786-B81F60899372}" name="PivotTable3" cacheId="17" applyNumberFormats="0" applyBorderFormats="0" applyFontFormats="0" applyPatternFormats="0" applyAlignmentFormats="0" applyWidthHeightFormats="1" dataCaption="Values" tag="68ddd527-1195-4b2d-8e53-82132a893a0f" updatedVersion="8" minRefreshableVersion="3" subtotalHiddenItems="1" itemPrintTitles="1" createdVersion="8" indent="0" outline="1" outlineData="1" multipleFieldFilters="0">
  <location ref="G7:G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912D47-5D93-4B23-852B-C27BA98E8392}" name="PivotTable5" cacheId="23"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location ref="G20:G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EE2A9D-13AE-4A04-B4D1-ED4DF0908FB8}" name="PivotTable4" cacheId="20" applyNumberFormats="0" applyBorderFormats="0" applyFontFormats="0" applyPatternFormats="0" applyAlignmentFormats="0" applyWidthHeightFormats="1" dataCaption="Values" tag="f16e9882-169a-4332-b8c5-536980db24d0" updatedVersion="8" minRefreshableVersion="3" subtotalHiddenItems="1" itemPrintTitles="1" createdVersion="8" indent="0" outline="1" outlineData="1" multipleFieldFilters="0">
  <location ref="G14:G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3E8A6-3A16-47C3-90DA-7DD6D2A4F6D7}" name="PivotTable6" cacheId="29"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1">
  <location ref="C38:E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0">
      <pivotArea outline="0" collapsedLevelsAreSubtotals="1" fieldPosition="0"/>
    </format>
    <format dxfId="19">
      <pivotArea collapsedLevelsAreSubtotals="1" fieldPosition="0">
        <references count="1">
          <reference field="2" count="0"/>
        </references>
      </pivotArea>
    </format>
    <format dxfId="1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9AE508-8BFE-4934-A666-025EF8E3CAD5}" name="PivotTable10" cacheId="41"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19">
  <location ref="C86:D95"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3"/>
    </i>
    <i>
      <x v="6"/>
    </i>
    <i>
      <x/>
    </i>
    <i>
      <x v="1"/>
    </i>
    <i>
      <x v="7"/>
    </i>
    <i t="grand">
      <x/>
    </i>
  </rowItems>
  <colItems count="1">
    <i/>
  </colItems>
  <dataFields count="1">
    <dataField name="Count of Department Referral" fld="2" subtotal="count" baseField="0" baseItem="0"/>
  </dataFields>
  <formats count="2">
    <format dxfId="22">
      <pivotArea outline="0" collapsedLevelsAreSubtotals="1" fieldPosition="0"/>
    </format>
    <format dxfId="21">
      <pivotArea collapsedLevelsAreSubtotals="1" fieldPosition="0">
        <references count="1">
          <reference field="1" count="0"/>
        </references>
      </pivotArea>
    </format>
  </formats>
  <chartFormats count="2">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9F3945-DDB2-4B2B-AB58-285DDAC68EB3}" name="PivotTable1" cacheId="14" applyNumberFormats="0" applyBorderFormats="0" applyFontFormats="0" applyPatternFormats="0" applyAlignmentFormats="0" applyWidthHeightFormats="1" dataCaption="Values" tag="38f14f80-f6eb-499d-be71-f4c4ba86a4d3" updatedVersion="8" minRefreshableVersion="3" subtotalHiddenItems="1" rowGrandTotals="0" colGrandTotals="0" itemPrintTitles="1" createdVersion="8" indent="0" outline="1" outlineData="1" multipleFieldFilters="0" chartFormat="24">
  <location ref="I5: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Waittime" fld="2" subtotal="average" baseField="0" baseItem="0" numFmtId="2"/>
  </dataFields>
  <formats count="1">
    <format dxfId="23">
      <pivotArea outline="0" collapsedLevelsAreSubtotals="1" fieldPosition="0"/>
    </format>
  </formats>
  <chartFormats count="4">
    <chartFormat chart="13" format="6"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0B9DDA-3404-47BC-AD87-5C15A7E4A5E8}" name="PivotTable8" cacheId="35"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8">
  <location ref="C67:D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5">
      <pivotArea outline="0" collapsedLevelsAreSubtotals="1" fieldPosition="0"/>
    </format>
    <format dxfId="24">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245AEA-E6E5-402A-ABA7-2F94F4CF5F85}" name="PivotTable7" cacheId="32"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4">
  <location ref="C53:D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8F76D0-7587-4A6B-8A25-4D0B0F3498AB}" name="PivotTable11" cacheId="44" applyNumberFormats="0" applyBorderFormats="0" applyFontFormats="0" applyPatternFormats="0" applyAlignmentFormats="0" applyWidthHeightFormats="1" dataCaption="Values" tag="f0ce8773-17e4-464a-b9cf-005697d36b8c" updatedVersion="8" minRefreshableVersion="3" subtotalHiddenItems="1" itemPrintTitles="1" createdVersion="8" indent="0" outline="1" outlineData="1" multipleFieldFilters="0" chartFormat="19">
  <location ref="C107:C142"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27">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C5AB467-19DB-407A-AED8-77DA7139E09E}" sourceName="[Calendar_Table].[Date (Month)]">
  <pivotTables>
    <pivotTable tabId="1" name="PivotTable1"/>
    <pivotTable tabId="1" name="PivotTable3"/>
    <pivotTable tabId="1" name="PivotTable4"/>
    <pivotTable tabId="1" name="PivotTable5"/>
    <pivotTable tabId="1" name="PivotTable2"/>
    <pivotTable tabId="1" name="PivotTable6"/>
    <pivotTable tabId="1" name="PivotTable7"/>
    <pivotTable tabId="1" name="PivotTable8"/>
    <pivotTable tabId="1" name="PivotTable9"/>
    <pivotTable tabId="1" name="PivotTable10"/>
    <pivotTable tabId="1" name="PivotTable11"/>
  </pivotTables>
  <data>
    <olap pivotCacheId="56555042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FAC5377-58E7-4D64-A145-446EB75BA8D8}" sourceName="[Calenda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6555042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42DE44F-3819-497B-8845-DBFFD01BCFEF}" cache="Slicer_Date__Month" caption="Date (Month)" startItem="2" showCaption="0" level="1" style="SlicerStyleDark3" rowHeight="274320"/>
  <slicer name="Date (Year)" xr10:uid="{D9553EB1-102B-4DC4-B30E-F4F852426C0C}" cache="Slicer_Date__Year" caption="Date (Year)" columnCount="2" showCaption="0" level="1" style="SlicerStyleDark6"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FD9E-70A5-4AB8-8F82-98F3EA4E74DA}">
  <dimension ref="A1:AH34"/>
  <sheetViews>
    <sheetView tabSelected="1" zoomScaleNormal="100" workbookViewId="0">
      <selection activeCell="V11" sqref="V11"/>
    </sheetView>
  </sheetViews>
  <sheetFormatPr defaultRowHeight="14.4" x14ac:dyDescent="0.3"/>
  <sheetData>
    <row r="1" spans="1:34"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spans="1:34"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4"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4"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spans="1:34"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row>
    <row r="8" spans="1:34"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4"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4"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4"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4"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row>
    <row r="14" spans="1:34"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row>
    <row r="15" spans="1:34"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row>
    <row r="16" spans="1:34"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row>
    <row r="17" spans="1:34"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1:34"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4"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4"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4"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spans="1:34"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4"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4"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4"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4"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4"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4"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1:34"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spans="1:34"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B99E-BE2C-48BB-8B81-E99005A8A450}">
  <dimension ref="C4:N142"/>
  <sheetViews>
    <sheetView topLeftCell="E1" workbookViewId="0">
      <selection activeCell="G48" sqref="G48"/>
    </sheetView>
  </sheetViews>
  <sheetFormatPr defaultRowHeight="14.4" x14ac:dyDescent="0.3"/>
  <cols>
    <col min="3" max="3" width="22.44140625" bestFit="1" customWidth="1"/>
    <col min="4" max="4" width="30.33203125" bestFit="1" customWidth="1"/>
    <col min="5" max="5" width="31.33203125" bestFit="1" customWidth="1"/>
    <col min="6" max="6" width="21.109375" customWidth="1"/>
    <col min="7" max="7" width="16.33203125" customWidth="1"/>
    <col min="8" max="8" width="27.88671875" customWidth="1"/>
    <col min="9" max="9" width="31.33203125" bestFit="1" customWidth="1"/>
    <col min="10" max="10" width="26" bestFit="1" customWidth="1"/>
    <col min="13" max="13" width="27.44140625" bestFit="1" customWidth="1"/>
    <col min="14" max="14" width="26.5546875" bestFit="1" customWidth="1"/>
  </cols>
  <sheetData>
    <row r="4" spans="7:14" x14ac:dyDescent="0.3">
      <c r="I4" t="s">
        <v>26</v>
      </c>
      <c r="M4" s="17" t="s">
        <v>27</v>
      </c>
      <c r="N4" s="17"/>
    </row>
    <row r="5" spans="7:14" x14ac:dyDescent="0.3">
      <c r="I5" s="3" t="s">
        <v>4</v>
      </c>
      <c r="J5" t="s">
        <v>2</v>
      </c>
      <c r="M5" s="3" t="s">
        <v>4</v>
      </c>
      <c r="N5" t="s">
        <v>3</v>
      </c>
    </row>
    <row r="6" spans="7:14" x14ac:dyDescent="0.3">
      <c r="G6" t="s">
        <v>1</v>
      </c>
      <c r="I6" s="4">
        <v>45413</v>
      </c>
      <c r="J6" s="1">
        <v>35.642857142857146</v>
      </c>
      <c r="M6" s="4">
        <v>45413</v>
      </c>
      <c r="N6" s="1">
        <v>7.4</v>
      </c>
    </row>
    <row r="7" spans="7:14" x14ac:dyDescent="0.3">
      <c r="G7" t="s">
        <v>0</v>
      </c>
      <c r="I7" s="4">
        <v>45414</v>
      </c>
      <c r="J7" s="1">
        <v>27</v>
      </c>
      <c r="M7" s="4">
        <v>45414</v>
      </c>
      <c r="N7" s="1">
        <v>5.6</v>
      </c>
    </row>
    <row r="8" spans="7:14" x14ac:dyDescent="0.3">
      <c r="G8" s="18">
        <v>519</v>
      </c>
      <c r="I8" s="4">
        <v>45415</v>
      </c>
      <c r="J8" s="1">
        <v>36.047619047619051</v>
      </c>
      <c r="M8" s="4">
        <v>45415</v>
      </c>
      <c r="N8" s="1">
        <v>6.7142857142857144</v>
      </c>
    </row>
    <row r="9" spans="7:14" x14ac:dyDescent="0.3">
      <c r="I9" s="4">
        <v>45416</v>
      </c>
      <c r="J9" s="1">
        <v>38.866666666666667</v>
      </c>
      <c r="M9" s="4">
        <v>45416</v>
      </c>
      <c r="N9" s="1">
        <v>6</v>
      </c>
    </row>
    <row r="10" spans="7:14" x14ac:dyDescent="0.3">
      <c r="I10" s="4">
        <v>45417</v>
      </c>
      <c r="J10" s="1">
        <v>35.909090909090907</v>
      </c>
      <c r="M10" s="4">
        <v>45417</v>
      </c>
      <c r="N10" s="1">
        <v>4</v>
      </c>
    </row>
    <row r="11" spans="7:14" x14ac:dyDescent="0.3">
      <c r="I11" s="4">
        <v>45418</v>
      </c>
      <c r="J11" s="1">
        <v>38.470588235294116</v>
      </c>
      <c r="M11" s="4">
        <v>45418</v>
      </c>
      <c r="N11" s="1">
        <v>4.7142857142857144</v>
      </c>
    </row>
    <row r="12" spans="7:14" x14ac:dyDescent="0.3">
      <c r="I12" s="4">
        <v>45419</v>
      </c>
      <c r="J12" s="1">
        <v>36.733333333333334</v>
      </c>
      <c r="M12" s="4">
        <v>45419</v>
      </c>
      <c r="N12" s="1">
        <v>1.8</v>
      </c>
    </row>
    <row r="13" spans="7:14" x14ac:dyDescent="0.3">
      <c r="I13" s="4">
        <v>45420</v>
      </c>
      <c r="J13" s="1">
        <v>34.588235294117645</v>
      </c>
      <c r="M13" s="4">
        <v>45420</v>
      </c>
      <c r="N13" s="1">
        <v>4.833333333333333</v>
      </c>
    </row>
    <row r="14" spans="7:14" x14ac:dyDescent="0.3">
      <c r="G14" t="s">
        <v>2</v>
      </c>
      <c r="I14" s="4">
        <v>45421</v>
      </c>
      <c r="J14" s="1">
        <v>37.53846153846154</v>
      </c>
      <c r="M14" s="4">
        <v>45421</v>
      </c>
      <c r="N14" s="1">
        <v>4.25</v>
      </c>
    </row>
    <row r="15" spans="7:14" x14ac:dyDescent="0.3">
      <c r="G15" s="1">
        <v>35.809248554913296</v>
      </c>
      <c r="I15" s="4">
        <v>45422</v>
      </c>
      <c r="J15" s="1">
        <v>31.708333333333332</v>
      </c>
      <c r="M15" s="4">
        <v>45422</v>
      </c>
      <c r="N15" s="1">
        <v>4.5999999999999996</v>
      </c>
    </row>
    <row r="16" spans="7:14" x14ac:dyDescent="0.3">
      <c r="I16" s="4">
        <v>45423</v>
      </c>
      <c r="J16" s="1">
        <v>28.923076923076923</v>
      </c>
      <c r="M16" s="4">
        <v>45423</v>
      </c>
      <c r="N16" s="1">
        <v>6.5</v>
      </c>
    </row>
    <row r="17" spans="7:14" x14ac:dyDescent="0.3">
      <c r="I17" s="4">
        <v>45424</v>
      </c>
      <c r="J17" s="1">
        <v>42.071428571428569</v>
      </c>
      <c r="M17" s="4">
        <v>45424</v>
      </c>
      <c r="N17" s="1">
        <v>5</v>
      </c>
    </row>
    <row r="18" spans="7:14" x14ac:dyDescent="0.3">
      <c r="I18" s="4">
        <v>45425</v>
      </c>
      <c r="J18" s="1">
        <v>35.833333333333336</v>
      </c>
      <c r="M18" s="4">
        <v>45425</v>
      </c>
      <c r="N18" s="1">
        <v>6</v>
      </c>
    </row>
    <row r="19" spans="7:14" x14ac:dyDescent="0.3">
      <c r="I19" s="4">
        <v>45426</v>
      </c>
      <c r="J19" s="1">
        <v>28.727272727272727</v>
      </c>
      <c r="M19" s="4">
        <v>45426</v>
      </c>
      <c r="N19" s="1">
        <v>4.7142857142857144</v>
      </c>
    </row>
    <row r="20" spans="7:14" x14ac:dyDescent="0.3">
      <c r="G20" t="s">
        <v>3</v>
      </c>
      <c r="I20" s="4">
        <v>45427</v>
      </c>
      <c r="J20" s="1">
        <v>35.75</v>
      </c>
      <c r="M20" s="4">
        <v>45427</v>
      </c>
      <c r="N20" s="1">
        <v>4.2</v>
      </c>
    </row>
    <row r="21" spans="7:14" x14ac:dyDescent="0.3">
      <c r="G21" s="1">
        <v>5.1455696202531644</v>
      </c>
      <c r="I21" s="4">
        <v>45428</v>
      </c>
      <c r="J21" s="1">
        <v>34.75</v>
      </c>
      <c r="M21" s="4">
        <v>45428</v>
      </c>
      <c r="N21" s="1">
        <v>7.2</v>
      </c>
    </row>
    <row r="22" spans="7:14" x14ac:dyDescent="0.3">
      <c r="I22" s="4">
        <v>45429</v>
      </c>
      <c r="J22" s="1">
        <v>37.666666666666664</v>
      </c>
      <c r="M22" s="4">
        <v>45429</v>
      </c>
      <c r="N22" s="1">
        <v>4.333333333333333</v>
      </c>
    </row>
    <row r="23" spans="7:14" x14ac:dyDescent="0.3">
      <c r="I23" s="4">
        <v>45430</v>
      </c>
      <c r="J23" s="1">
        <v>40.421052631578945</v>
      </c>
      <c r="M23" s="4">
        <v>45430</v>
      </c>
      <c r="N23" s="1">
        <v>3.7777777777777777</v>
      </c>
    </row>
    <row r="24" spans="7:14" x14ac:dyDescent="0.3">
      <c r="I24" s="4">
        <v>45431</v>
      </c>
      <c r="J24" s="1">
        <v>33.75</v>
      </c>
      <c r="M24" s="4">
        <v>45431</v>
      </c>
      <c r="N24" s="1">
        <v>3.6666666666666665</v>
      </c>
    </row>
    <row r="25" spans="7:14" x14ac:dyDescent="0.3">
      <c r="I25" s="4">
        <v>45432</v>
      </c>
      <c r="J25" s="1">
        <v>32.764705882352942</v>
      </c>
      <c r="M25" s="4">
        <v>45432</v>
      </c>
      <c r="N25" s="1">
        <v>4</v>
      </c>
    </row>
    <row r="26" spans="7:14" x14ac:dyDescent="0.3">
      <c r="I26" s="4">
        <v>45433</v>
      </c>
      <c r="J26" s="1">
        <v>37.357142857142854</v>
      </c>
      <c r="M26" s="4">
        <v>45433</v>
      </c>
      <c r="N26" s="1">
        <v>5.833333333333333</v>
      </c>
    </row>
    <row r="27" spans="7:14" x14ac:dyDescent="0.3">
      <c r="I27" s="4">
        <v>45434</v>
      </c>
      <c r="J27" s="1">
        <v>37.227272727272727</v>
      </c>
      <c r="M27" s="4">
        <v>45434</v>
      </c>
      <c r="N27" s="1">
        <v>5.666666666666667</v>
      </c>
    </row>
    <row r="28" spans="7:14" x14ac:dyDescent="0.3">
      <c r="I28" s="4">
        <v>45435</v>
      </c>
      <c r="J28" s="1">
        <v>36.700000000000003</v>
      </c>
      <c r="M28" s="4">
        <v>45435</v>
      </c>
      <c r="N28" s="1">
        <v>5.5</v>
      </c>
    </row>
    <row r="29" spans="7:14" x14ac:dyDescent="0.3">
      <c r="I29" s="4">
        <v>45436</v>
      </c>
      <c r="J29" s="1">
        <v>43.058823529411768</v>
      </c>
      <c r="M29" s="4">
        <v>45436</v>
      </c>
      <c r="N29" s="1">
        <v>5.5</v>
      </c>
    </row>
    <row r="30" spans="7:14" x14ac:dyDescent="0.3">
      <c r="I30" s="4">
        <v>45437</v>
      </c>
      <c r="J30" s="1">
        <v>39.777777777777779</v>
      </c>
      <c r="M30" s="4">
        <v>45437</v>
      </c>
      <c r="N30" s="1">
        <v>7</v>
      </c>
    </row>
    <row r="31" spans="7:14" x14ac:dyDescent="0.3">
      <c r="I31" s="4">
        <v>45438</v>
      </c>
      <c r="J31" s="1">
        <v>40.692307692307693</v>
      </c>
      <c r="M31" s="4">
        <v>45438</v>
      </c>
      <c r="N31" s="1">
        <v>7</v>
      </c>
    </row>
    <row r="32" spans="7:14" x14ac:dyDescent="0.3">
      <c r="I32" s="4">
        <v>45439</v>
      </c>
      <c r="J32" s="1">
        <v>34.46153846153846</v>
      </c>
      <c r="M32" s="4">
        <v>45439</v>
      </c>
      <c r="N32" s="1">
        <v>4</v>
      </c>
    </row>
    <row r="33" spans="3:14" x14ac:dyDescent="0.3">
      <c r="I33" s="4">
        <v>45440</v>
      </c>
      <c r="J33" s="1">
        <v>30.307692307692307</v>
      </c>
      <c r="M33" s="4">
        <v>45440</v>
      </c>
      <c r="N33" s="1">
        <v>4.4444444444444446</v>
      </c>
    </row>
    <row r="34" spans="3:14" x14ac:dyDescent="0.3">
      <c r="I34" s="4">
        <v>45441</v>
      </c>
      <c r="J34" s="1">
        <v>38.5</v>
      </c>
      <c r="M34" s="4">
        <v>45441</v>
      </c>
      <c r="N34" s="1">
        <v>4.8571428571428568</v>
      </c>
    </row>
    <row r="35" spans="3:14" x14ac:dyDescent="0.3">
      <c r="I35" s="4">
        <v>45442</v>
      </c>
      <c r="J35" s="1">
        <v>35.333333333333336</v>
      </c>
      <c r="M35" s="4">
        <v>45442</v>
      </c>
      <c r="N35" s="1">
        <v>5.5714285714285712</v>
      </c>
    </row>
    <row r="36" spans="3:14" x14ac:dyDescent="0.3">
      <c r="I36" s="4">
        <v>45443</v>
      </c>
      <c r="J36" s="1">
        <v>32.421052631578945</v>
      </c>
      <c r="M36" s="4">
        <v>45443</v>
      </c>
      <c r="N36" s="1">
        <v>6</v>
      </c>
    </row>
    <row r="38" spans="3:14" x14ac:dyDescent="0.3">
      <c r="C38" s="3" t="s">
        <v>4</v>
      </c>
      <c r="D38" t="s">
        <v>29</v>
      </c>
      <c r="E38" t="s">
        <v>30</v>
      </c>
    </row>
    <row r="39" spans="3:14" x14ac:dyDescent="0.3">
      <c r="C39" s="5" t="s">
        <v>8</v>
      </c>
      <c r="D39" s="8">
        <v>266</v>
      </c>
      <c r="E39" s="9">
        <v>0.51252408477842004</v>
      </c>
    </row>
    <row r="40" spans="3:14" x14ac:dyDescent="0.3">
      <c r="C40" s="5" t="s">
        <v>15</v>
      </c>
      <c r="D40" s="8">
        <v>253</v>
      </c>
      <c r="E40" s="9">
        <v>0.48747591522157996</v>
      </c>
    </row>
    <row r="41" spans="3:14" x14ac:dyDescent="0.3">
      <c r="C41" s="5" t="s">
        <v>5</v>
      </c>
      <c r="D41" s="1">
        <v>519</v>
      </c>
      <c r="E41" s="9">
        <v>1</v>
      </c>
    </row>
    <row r="44" spans="3:14" x14ac:dyDescent="0.3">
      <c r="D44" s="11" t="s">
        <v>31</v>
      </c>
      <c r="E44" s="11" t="s">
        <v>32</v>
      </c>
      <c r="F44" s="11" t="s">
        <v>33</v>
      </c>
      <c r="G44" s="10"/>
    </row>
    <row r="45" spans="3:14" x14ac:dyDescent="0.3">
      <c r="D45" s="12" t="str">
        <f>C40</f>
        <v>Not Admitted</v>
      </c>
      <c r="E45" s="12">
        <f>D40</f>
        <v>253</v>
      </c>
      <c r="F45" s="13">
        <f>E40</f>
        <v>0.48747591522157996</v>
      </c>
      <c r="G45" s="6"/>
    </row>
    <row r="46" spans="3:14" x14ac:dyDescent="0.3">
      <c r="D46" s="12" t="str">
        <f>C39</f>
        <v>Admitted</v>
      </c>
      <c r="E46" s="12">
        <f>D39</f>
        <v>266</v>
      </c>
      <c r="F46" s="13">
        <f>E39</f>
        <v>0.51252408477842004</v>
      </c>
      <c r="G46" s="6"/>
    </row>
    <row r="52" spans="3:4" x14ac:dyDescent="0.3">
      <c r="C52" t="s">
        <v>35</v>
      </c>
    </row>
    <row r="53" spans="3:4" x14ac:dyDescent="0.3">
      <c r="C53" s="3" t="s">
        <v>4</v>
      </c>
      <c r="D53" t="s">
        <v>34</v>
      </c>
    </row>
    <row r="54" spans="3:4" x14ac:dyDescent="0.3">
      <c r="C54" s="5" t="s">
        <v>19</v>
      </c>
      <c r="D54" s="1">
        <v>73</v>
      </c>
    </row>
    <row r="55" spans="3:4" x14ac:dyDescent="0.3">
      <c r="C55" s="5" t="s">
        <v>16</v>
      </c>
      <c r="D55" s="1">
        <v>64</v>
      </c>
    </row>
    <row r="56" spans="3:4" x14ac:dyDescent="0.3">
      <c r="C56" s="5" t="s">
        <v>17</v>
      </c>
      <c r="D56" s="1">
        <v>74</v>
      </c>
    </row>
    <row r="57" spans="3:4" x14ac:dyDescent="0.3">
      <c r="C57" s="5" t="s">
        <v>11</v>
      </c>
      <c r="D57" s="1">
        <v>71</v>
      </c>
    </row>
    <row r="58" spans="3:4" x14ac:dyDescent="0.3">
      <c r="C58" s="5" t="s">
        <v>9</v>
      </c>
      <c r="D58" s="1">
        <v>58</v>
      </c>
    </row>
    <row r="59" spans="3:4" x14ac:dyDescent="0.3">
      <c r="C59" s="5" t="s">
        <v>21</v>
      </c>
      <c r="D59" s="1">
        <v>68</v>
      </c>
    </row>
    <row r="60" spans="3:4" x14ac:dyDescent="0.3">
      <c r="C60" s="5" t="s">
        <v>13</v>
      </c>
      <c r="D60" s="1">
        <v>62</v>
      </c>
    </row>
    <row r="61" spans="3:4" x14ac:dyDescent="0.3">
      <c r="C61" s="5" t="s">
        <v>25</v>
      </c>
      <c r="D61" s="1">
        <v>49</v>
      </c>
    </row>
    <row r="62" spans="3:4" x14ac:dyDescent="0.3">
      <c r="C62" s="5" t="s">
        <v>5</v>
      </c>
      <c r="D62" s="1">
        <v>519</v>
      </c>
    </row>
    <row r="66" spans="3:4" x14ac:dyDescent="0.3">
      <c r="C66" t="s">
        <v>36</v>
      </c>
    </row>
    <row r="67" spans="3:4" x14ac:dyDescent="0.3">
      <c r="C67" s="3" t="s">
        <v>4</v>
      </c>
      <c r="D67" t="s">
        <v>28</v>
      </c>
    </row>
    <row r="68" spans="3:4" x14ac:dyDescent="0.3">
      <c r="C68" s="5" t="s">
        <v>12</v>
      </c>
      <c r="D68" s="8">
        <v>324</v>
      </c>
    </row>
    <row r="69" spans="3:4" x14ac:dyDescent="0.3">
      <c r="C69" s="5" t="s">
        <v>10</v>
      </c>
      <c r="D69" s="8">
        <v>195</v>
      </c>
    </row>
    <row r="70" spans="3:4" x14ac:dyDescent="0.3">
      <c r="C70" s="5" t="s">
        <v>5</v>
      </c>
      <c r="D70" s="1">
        <v>519</v>
      </c>
    </row>
    <row r="77" spans="3:4" x14ac:dyDescent="0.3">
      <c r="C77" t="s">
        <v>38</v>
      </c>
    </row>
    <row r="78" spans="3:4" x14ac:dyDescent="0.3">
      <c r="C78" s="3" t="s">
        <v>4</v>
      </c>
      <c r="D78" t="s">
        <v>37</v>
      </c>
    </row>
    <row r="79" spans="3:4" x14ac:dyDescent="0.3">
      <c r="C79" s="5" t="s">
        <v>6</v>
      </c>
      <c r="D79" s="1">
        <v>254</v>
      </c>
    </row>
    <row r="80" spans="3:4" x14ac:dyDescent="0.3">
      <c r="C80" s="5" t="s">
        <v>14</v>
      </c>
      <c r="D80" s="1">
        <v>265</v>
      </c>
    </row>
    <row r="81" spans="3:4" x14ac:dyDescent="0.3">
      <c r="C81" s="5" t="s">
        <v>5</v>
      </c>
      <c r="D81" s="1">
        <v>519</v>
      </c>
    </row>
    <row r="86" spans="3:4" x14ac:dyDescent="0.3">
      <c r="C86" s="3" t="s">
        <v>4</v>
      </c>
      <c r="D86" t="s">
        <v>41</v>
      </c>
    </row>
    <row r="87" spans="3:4" x14ac:dyDescent="0.3">
      <c r="C87" s="5" t="s">
        <v>7</v>
      </c>
      <c r="D87" s="8">
        <v>313</v>
      </c>
    </row>
    <row r="88" spans="3:4" x14ac:dyDescent="0.3">
      <c r="C88" s="5" t="s">
        <v>18</v>
      </c>
      <c r="D88" s="8">
        <v>102</v>
      </c>
    </row>
    <row r="89" spans="3:4" x14ac:dyDescent="0.3">
      <c r="C89" s="5" t="s">
        <v>20</v>
      </c>
      <c r="D89" s="8">
        <v>51</v>
      </c>
    </row>
    <row r="90" spans="3:4" x14ac:dyDescent="0.3">
      <c r="C90" s="5" t="s">
        <v>39</v>
      </c>
      <c r="D90" s="8">
        <v>16</v>
      </c>
    </row>
    <row r="91" spans="3:4" x14ac:dyDescent="0.3">
      <c r="C91" s="5" t="s">
        <v>22</v>
      </c>
      <c r="D91" s="8">
        <v>15</v>
      </c>
    </row>
    <row r="92" spans="3:4" x14ac:dyDescent="0.3">
      <c r="C92" s="5" t="s">
        <v>23</v>
      </c>
      <c r="D92" s="8">
        <v>11</v>
      </c>
    </row>
    <row r="93" spans="3:4" x14ac:dyDescent="0.3">
      <c r="C93" s="5" t="s">
        <v>24</v>
      </c>
      <c r="D93" s="8">
        <v>8</v>
      </c>
    </row>
    <row r="94" spans="3:4" x14ac:dyDescent="0.3">
      <c r="C94" s="5" t="s">
        <v>40</v>
      </c>
      <c r="D94" s="8">
        <v>3</v>
      </c>
    </row>
    <row r="95" spans="3:4" x14ac:dyDescent="0.3">
      <c r="C95" s="5" t="s">
        <v>5</v>
      </c>
      <c r="D95" s="1">
        <v>519</v>
      </c>
    </row>
    <row r="107" spans="3:3" x14ac:dyDescent="0.3">
      <c r="C107" s="3" t="s">
        <v>4</v>
      </c>
    </row>
    <row r="108" spans="3:3" x14ac:dyDescent="0.3">
      <c r="C108" s="5" t="s">
        <v>42</v>
      </c>
    </row>
    <row r="109" spans="3:3" x14ac:dyDescent="0.3">
      <c r="C109" s="14" t="s">
        <v>43</v>
      </c>
    </row>
    <row r="110" spans="3:3" x14ac:dyDescent="0.3">
      <c r="C110" s="15" t="s">
        <v>44</v>
      </c>
    </row>
    <row r="111" spans="3:3" x14ac:dyDescent="0.3">
      <c r="C111" s="16">
        <v>45413</v>
      </c>
    </row>
    <row r="112" spans="3:3" x14ac:dyDescent="0.3">
      <c r="C112" s="16">
        <v>45414</v>
      </c>
    </row>
    <row r="113" spans="3:3" x14ac:dyDescent="0.3">
      <c r="C113" s="16">
        <v>45415</v>
      </c>
    </row>
    <row r="114" spans="3:3" x14ac:dyDescent="0.3">
      <c r="C114" s="16">
        <v>45416</v>
      </c>
    </row>
    <row r="115" spans="3:3" x14ac:dyDescent="0.3">
      <c r="C115" s="16">
        <v>45417</v>
      </c>
    </row>
    <row r="116" spans="3:3" x14ac:dyDescent="0.3">
      <c r="C116" s="16">
        <v>45418</v>
      </c>
    </row>
    <row r="117" spans="3:3" x14ac:dyDescent="0.3">
      <c r="C117" s="16">
        <v>45419</v>
      </c>
    </row>
    <row r="118" spans="3:3" x14ac:dyDescent="0.3">
      <c r="C118" s="16">
        <v>45420</v>
      </c>
    </row>
    <row r="119" spans="3:3" x14ac:dyDescent="0.3">
      <c r="C119" s="16">
        <v>45421</v>
      </c>
    </row>
    <row r="120" spans="3:3" x14ac:dyDescent="0.3">
      <c r="C120" s="16">
        <v>45422</v>
      </c>
    </row>
    <row r="121" spans="3:3" x14ac:dyDescent="0.3">
      <c r="C121" s="16">
        <v>45423</v>
      </c>
    </row>
    <row r="122" spans="3:3" x14ac:dyDescent="0.3">
      <c r="C122" s="16">
        <v>45424</v>
      </c>
    </row>
    <row r="123" spans="3:3" x14ac:dyDescent="0.3">
      <c r="C123" s="16">
        <v>45425</v>
      </c>
    </row>
    <row r="124" spans="3:3" x14ac:dyDescent="0.3">
      <c r="C124" s="16">
        <v>45426</v>
      </c>
    </row>
    <row r="125" spans="3:3" x14ac:dyDescent="0.3">
      <c r="C125" s="16">
        <v>45427</v>
      </c>
    </row>
    <row r="126" spans="3:3" x14ac:dyDescent="0.3">
      <c r="C126" s="16">
        <v>45428</v>
      </c>
    </row>
    <row r="127" spans="3:3" x14ac:dyDescent="0.3">
      <c r="C127" s="16">
        <v>45429</v>
      </c>
    </row>
    <row r="128" spans="3:3" x14ac:dyDescent="0.3">
      <c r="C128" s="16">
        <v>45430</v>
      </c>
    </row>
    <row r="129" spans="3:3" x14ac:dyDescent="0.3">
      <c r="C129" s="16">
        <v>45431</v>
      </c>
    </row>
    <row r="130" spans="3:3" x14ac:dyDescent="0.3">
      <c r="C130" s="16">
        <v>45432</v>
      </c>
    </row>
    <row r="131" spans="3:3" x14ac:dyDescent="0.3">
      <c r="C131" s="16">
        <v>45433</v>
      </c>
    </row>
    <row r="132" spans="3:3" x14ac:dyDescent="0.3">
      <c r="C132" s="16">
        <v>45434</v>
      </c>
    </row>
    <row r="133" spans="3:3" x14ac:dyDescent="0.3">
      <c r="C133" s="16">
        <v>45435</v>
      </c>
    </row>
    <row r="134" spans="3:3" x14ac:dyDescent="0.3">
      <c r="C134" s="16">
        <v>45436</v>
      </c>
    </row>
    <row r="135" spans="3:3" x14ac:dyDescent="0.3">
      <c r="C135" s="16">
        <v>45437</v>
      </c>
    </row>
    <row r="136" spans="3:3" x14ac:dyDescent="0.3">
      <c r="C136" s="16">
        <v>45438</v>
      </c>
    </row>
    <row r="137" spans="3:3" x14ac:dyDescent="0.3">
      <c r="C137" s="16">
        <v>45439</v>
      </c>
    </row>
    <row r="138" spans="3:3" x14ac:dyDescent="0.3">
      <c r="C138" s="16">
        <v>45440</v>
      </c>
    </row>
    <row r="139" spans="3:3" x14ac:dyDescent="0.3">
      <c r="C139" s="16">
        <v>45441</v>
      </c>
    </row>
    <row r="140" spans="3:3" x14ac:dyDescent="0.3">
      <c r="C140" s="16">
        <v>45442</v>
      </c>
    </row>
    <row r="141" spans="3:3" x14ac:dyDescent="0.3">
      <c r="C141" s="16">
        <v>45443</v>
      </c>
    </row>
    <row r="142" spans="3:3" x14ac:dyDescent="0.3">
      <c r="C142" s="5" t="s">
        <v>5</v>
      </c>
    </row>
  </sheetData>
  <mergeCells count="1">
    <mergeCell ref="M4:N4"/>
  </mergeCell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E786-BA58-4AC1-A73D-FEBF4AF37A33}">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48C9-6DAF-41E3-ABBF-92E4F88007F6}">
  <dimension ref="A1:P21"/>
  <sheetViews>
    <sheetView workbookViewId="0"/>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96FD-FB38-4BD5-A569-337E11A63E14}">
  <dimension ref="A1:U31"/>
  <sheetViews>
    <sheetView workbookViewId="0"/>
  </sheetViews>
  <sheetFormatPr defaultRowHeight="14.4" x14ac:dyDescent="0.3"/>
  <sheetData>
    <row r="1" spans="1:21" x14ac:dyDescent="0.3">
      <c r="A1" s="7"/>
      <c r="B1" s="7"/>
      <c r="C1" s="7"/>
      <c r="D1" s="7"/>
      <c r="E1" s="7"/>
      <c r="F1" s="7"/>
      <c r="G1" s="7"/>
      <c r="H1" s="7"/>
      <c r="I1" s="7"/>
      <c r="J1" s="7"/>
      <c r="K1" s="7"/>
      <c r="L1" s="7"/>
      <c r="M1" s="7"/>
      <c r="N1" s="7"/>
      <c r="O1" s="7"/>
      <c r="P1" s="7"/>
      <c r="Q1" s="7"/>
      <c r="R1" s="7"/>
      <c r="S1" s="7"/>
      <c r="T1" s="7"/>
      <c r="U1" s="7"/>
    </row>
    <row r="2" spans="1:21" x14ac:dyDescent="0.3">
      <c r="A2" s="7"/>
      <c r="B2" s="7"/>
      <c r="C2" s="7"/>
      <c r="D2" s="7"/>
      <c r="E2" s="7"/>
      <c r="F2" s="7"/>
      <c r="G2" s="7"/>
      <c r="H2" s="7"/>
      <c r="I2" s="7"/>
      <c r="J2" s="7"/>
      <c r="K2" s="7"/>
      <c r="L2" s="7"/>
      <c r="M2" s="7"/>
      <c r="N2" s="7"/>
      <c r="O2" s="7"/>
      <c r="P2" s="7"/>
      <c r="Q2" s="7"/>
      <c r="R2" s="7"/>
      <c r="S2" s="7"/>
      <c r="T2" s="7"/>
      <c r="U2" s="7"/>
    </row>
    <row r="3" spans="1:21" x14ac:dyDescent="0.3">
      <c r="A3" s="7"/>
      <c r="B3" s="7"/>
      <c r="C3" s="7"/>
      <c r="D3" s="7"/>
      <c r="E3" s="7"/>
      <c r="F3" s="7"/>
      <c r="G3" s="7"/>
      <c r="H3" s="7"/>
      <c r="I3" s="7"/>
      <c r="J3" s="7"/>
      <c r="K3" s="7"/>
      <c r="L3" s="7"/>
      <c r="M3" s="7"/>
      <c r="N3" s="7"/>
      <c r="O3" s="7"/>
      <c r="P3" s="7"/>
      <c r="Q3" s="7"/>
      <c r="R3" s="7"/>
      <c r="S3" s="7"/>
      <c r="T3" s="7"/>
      <c r="U3" s="7"/>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3BEEF40-7E4D-41B5-BECD-7C9FC3E26E56}">
  <ds:schemaRefs/>
</ds:datastoreItem>
</file>

<file path=customXml/itemProps2.xml><?xml version="1.0" encoding="utf-8"?>
<ds:datastoreItem xmlns:ds="http://schemas.openxmlformats.org/officeDocument/2006/customXml" ds:itemID="{DA591394-A0D1-4B05-9472-E4BC01B61793}">
  <ds:schemaRefs/>
</ds:datastoreItem>
</file>

<file path=customXml/itemProps3.xml><?xml version="1.0" encoding="utf-8"?>
<ds:datastoreItem xmlns:ds="http://schemas.openxmlformats.org/officeDocument/2006/customXml" ds:itemID="{11C0449B-585D-4771-8684-887350817F3D}">
  <ds:schemaRefs/>
</ds:datastoreItem>
</file>

<file path=customXml/itemProps4.xml><?xml version="1.0" encoding="utf-8"?>
<ds:datastoreItem xmlns:ds="http://schemas.openxmlformats.org/officeDocument/2006/customXml" ds:itemID="{3E13933B-CC3B-4181-937B-120E3654E804}">
  <ds:schemaRefs/>
</ds:datastoreItem>
</file>

<file path=customXml/itemProps5.xml><?xml version="1.0" encoding="utf-8"?>
<ds:datastoreItem xmlns:ds="http://schemas.openxmlformats.org/officeDocument/2006/customXml" ds:itemID="{99F5625C-8409-48C8-87E5-B9461D845BD9}">
  <ds:schemaRefs/>
</ds:datastoreItem>
</file>

<file path=customXml/itemProps6.xml><?xml version="1.0" encoding="utf-8"?>
<ds:datastoreItem xmlns:ds="http://schemas.openxmlformats.org/officeDocument/2006/customXml" ds:itemID="{EADF5226-5AC2-41AB-AC0D-F1A5AD8D180C}">
  <ds:schemaRefs>
    <ds:schemaRef ds:uri="http://schemas.microsoft.com/DataMashup"/>
  </ds:schemaRefs>
</ds:datastoreItem>
</file>

<file path=customXml/itemProps7.xml><?xml version="1.0" encoding="utf-8"?>
<ds:datastoreItem xmlns:ds="http://schemas.openxmlformats.org/officeDocument/2006/customXml" ds:itemID="{ED47E92C-9C90-4F30-A87A-EDE8C782528E}">
  <ds:schemaRefs/>
</ds:datastoreItem>
</file>

<file path=customXml/itemProps8.xml><?xml version="1.0" encoding="utf-8"?>
<ds:datastoreItem xmlns:ds="http://schemas.openxmlformats.org/officeDocument/2006/customXml" ds:itemID="{46F176F1-9990-4E86-8E9C-F3ADFF82938F}">
  <ds:schemaRefs/>
</ds:datastoreItem>
</file>

<file path=customXml/itemProps9.xml><?xml version="1.0" encoding="utf-8"?>
<ds:datastoreItem xmlns:ds="http://schemas.openxmlformats.org/officeDocument/2006/customXml" ds:itemID="{4EF81043-3052-42DD-B822-C0C379F68FE8}">
  <ds:schemaRefs/>
</ds:datastoreItem>
</file>

<file path=customXml/itemProps10.xml><?xml version="1.0" encoding="utf-8"?>
<ds:datastoreItem xmlns:ds="http://schemas.openxmlformats.org/officeDocument/2006/customXml" ds:itemID="{A42BA4F3-0E02-42B4-B38D-D4F0ACC6F9B3}">
  <ds:schemaRefs/>
</ds:datastoreItem>
</file>

<file path=customXml/itemProps11.xml><?xml version="1.0" encoding="utf-8"?>
<ds:datastoreItem xmlns:ds="http://schemas.openxmlformats.org/officeDocument/2006/customXml" ds:itemID="{0CCAED0D-D325-4960-A82E-97B4F712C29D}">
  <ds:schemaRefs/>
</ds:datastoreItem>
</file>

<file path=customXml/itemProps12.xml><?xml version="1.0" encoding="utf-8"?>
<ds:datastoreItem xmlns:ds="http://schemas.openxmlformats.org/officeDocument/2006/customXml" ds:itemID="{844CCAD2-1461-4CCF-898F-F65C28979B46}">
  <ds:schemaRefs/>
</ds:datastoreItem>
</file>

<file path=customXml/itemProps13.xml><?xml version="1.0" encoding="utf-8"?>
<ds:datastoreItem xmlns:ds="http://schemas.openxmlformats.org/officeDocument/2006/customXml" ds:itemID="{C0376831-BCFA-4F1C-B8E4-0A5EB36B953F}">
  <ds:schemaRefs/>
</ds:datastoreItem>
</file>

<file path=customXml/itemProps14.xml><?xml version="1.0" encoding="utf-8"?>
<ds:datastoreItem xmlns:ds="http://schemas.openxmlformats.org/officeDocument/2006/customXml" ds:itemID="{3B02F62C-7D78-4707-84F5-10FC979DA4FE}">
  <ds:schemaRefs/>
</ds:datastoreItem>
</file>

<file path=customXml/itemProps15.xml><?xml version="1.0" encoding="utf-8"?>
<ds:datastoreItem xmlns:ds="http://schemas.openxmlformats.org/officeDocument/2006/customXml" ds:itemID="{F5B7BD10-9F3B-4538-91A5-BA950ED31535}">
  <ds:schemaRefs/>
</ds:datastoreItem>
</file>

<file path=customXml/itemProps16.xml><?xml version="1.0" encoding="utf-8"?>
<ds:datastoreItem xmlns:ds="http://schemas.openxmlformats.org/officeDocument/2006/customXml" ds:itemID="{23C69421-07AE-4DEC-8E31-E43D0B2D45B1}">
  <ds:schemaRefs/>
</ds:datastoreItem>
</file>

<file path=customXml/itemProps17.xml><?xml version="1.0" encoding="utf-8"?>
<ds:datastoreItem xmlns:ds="http://schemas.openxmlformats.org/officeDocument/2006/customXml" ds:itemID="{60AF997F-149B-428F-90CB-79ADE0B1AF87}">
  <ds:schemaRefs/>
</ds:datastoreItem>
</file>

<file path=customXml/itemProps18.xml><?xml version="1.0" encoding="utf-8"?>
<ds:datastoreItem xmlns:ds="http://schemas.openxmlformats.org/officeDocument/2006/customXml" ds:itemID="{D9504547-F397-4E7E-B3FC-993AF21FF76A}">
  <ds:schemaRefs/>
</ds:datastoreItem>
</file>

<file path=customXml/itemProps19.xml><?xml version="1.0" encoding="utf-8"?>
<ds:datastoreItem xmlns:ds="http://schemas.openxmlformats.org/officeDocument/2006/customXml" ds:itemID="{28B0A475-FD61-493C-9E1D-1AD9D178A0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kumar pandey</dc:creator>
  <cp:lastModifiedBy>vipin kumar pandey</cp:lastModifiedBy>
  <dcterms:created xsi:type="dcterms:W3CDTF">2025-06-19T16:34:42Z</dcterms:created>
  <dcterms:modified xsi:type="dcterms:W3CDTF">2025-10-23T19:16:54Z</dcterms:modified>
</cp:coreProperties>
</file>