
<file path=[Content_Types].xml><?xml version="1.0" encoding="utf-8"?>
<Types xmlns="http://schemas.openxmlformats.org/package/2006/content-types">
  <Default Extension="data" ContentType="application/vnd.openxmlformats-officedocument.model+data"/>
  <Default Extension="emf" ContentType="image/x-emf"/>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2.xml" ContentType="application/vnd.openxmlformats-officedocument.drawingml.chartshape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3.xml" ContentType="application/vnd.openxmlformats-officedocument.drawing+xml"/>
  <Override PartName="/xl/charts/chart8.xml" ContentType="application/vnd.openxmlformats-officedocument.drawingml.chart+xml"/>
  <Override PartName="/xl/drawings/drawing4.xml" ContentType="application/vnd.openxmlformats-officedocument.drawing+xml"/>
  <Override PartName="/xl/charts/chart9.xml" ContentType="application/vnd.openxmlformats-officedocument.drawingml.chart+xml"/>
  <Override PartName="/xl/charts/style8.xml" ContentType="application/vnd.ms-office.chartstyle+xml"/>
  <Override PartName="/xl/charts/colors8.xml" ContentType="application/vnd.ms-office.chartcolorstyle+xml"/>
  <Override PartName="/xl/drawings/drawing5.xml" ContentType="application/vnd.openxmlformats-officedocument.drawing+xml"/>
  <Override PartName="/xl/charts/chart10.xml" ContentType="application/vnd.openxmlformats-officedocument.drawingml.chart+xml"/>
  <Override PartName="/xl/charts/style9.xml" ContentType="application/vnd.ms-office.chartstyle+xml"/>
  <Override PartName="/xl/charts/colors9.xml" ContentType="application/vnd.ms-office.chartcolorstyle+xml"/>
  <Override PartName="/xl/drawings/drawing6.xml" ContentType="application/vnd.openxmlformats-officedocument.drawingml.chartshapes+xml"/>
  <Override PartName="/xl/drawings/drawing7.xml" ContentType="application/vnd.openxmlformats-officedocument.drawing+xml"/>
  <Override PartName="/xl/charts/chart11.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8.xml" ContentType="application/vnd.openxmlformats-officedocument.drawingml.chartshape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hidePivotFieldList="1" defaultThemeVersion="202300"/>
  <mc:AlternateContent xmlns:mc="http://schemas.openxmlformats.org/markup-compatibility/2006">
    <mc:Choice Requires="x15">
      <x15ac:absPath xmlns:x15ac="http://schemas.microsoft.com/office/spreadsheetml/2010/11/ac" url="C:\Users\pvipi\Desktop\VIP_GitHub\Excel_Projects\Healthcare_sector_Projects\Hospital_Emergency_Room_Data_Analysis\"/>
    </mc:Choice>
  </mc:AlternateContent>
  <xr:revisionPtr revIDLastSave="0" documentId="13_ncr:1_{B890593C-921B-42E9-9582-55DE9D09336A}" xr6:coauthVersionLast="47" xr6:coauthVersionMax="47" xr10:uidLastSave="{00000000-0000-0000-0000-000000000000}"/>
  <bookViews>
    <workbookView xWindow="-108" yWindow="-108" windowWidth="23256" windowHeight="12456" xr2:uid="{95F5B11D-4702-44CD-9A9E-7B0BD0E113FF}"/>
  </bookViews>
  <sheets>
    <sheet name="Dashboard" sheetId="3" r:id="rId1"/>
    <sheet name="Pivot Report" sheetId="1" r:id="rId2"/>
    <sheet name="Daily ER No. of Patient" sheetId="4" r:id="rId3"/>
    <sheet name="Average Wait time daily trend" sheetId="6" r:id="rId4"/>
    <sheet name="Satisfaction score Daily trends" sheetId="8" r:id="rId5"/>
  </sheets>
  <definedNames>
    <definedName name="Slicer_Date__Month">#N/A</definedName>
    <definedName name="Slicer_Date__Year">#N/A</definedName>
  </definedNames>
  <calcPr calcId="191029"/>
  <pivotCaches>
    <pivotCache cacheId="3" r:id="rId6"/>
    <pivotCache cacheId="4" r:id="rId7"/>
    <pivotCache cacheId="5" r:id="rId8"/>
    <pivotCache cacheId="6" r:id="rId9"/>
    <pivotCache cacheId="7" r:id="rId10"/>
    <pivotCache cacheId="8" r:id="rId11"/>
    <pivotCache cacheId="9" r:id="rId12"/>
    <pivotCache cacheId="10" r:id="rId13"/>
    <pivotCache cacheId="11" r:id="rId14"/>
    <pivotCache cacheId="12" r:id="rId15"/>
    <pivotCache cacheId="13" r:id="rId16"/>
  </pivotCaches>
  <extLst>
    <ext xmlns:x14="http://schemas.microsoft.com/office/spreadsheetml/2009/9/main" uri="{876F7934-8845-4945-9796-88D515C7AA90}">
      <x14:pivotCaches>
        <pivotCache cacheId="14" r:id="rId17"/>
      </x14:pivotCaches>
    </ext>
    <ext xmlns:x14="http://schemas.microsoft.com/office/spreadsheetml/2009/9/main" uri="{BBE1A952-AA13-448e-AADC-164F8A28A991}">
      <x14:slicerCaches>
        <x14:slicerCache r:id="rId18"/>
        <x14:slicerCache r:id="rId1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Hospital Emergency Room Data_52cec7a0-8c51-467e-9ee1-4a4c1bf1d83e" name="Hospital Emergency Room Data" connection="Query - Hospital Emergency Room Data"/>
          <x15:modelTable id="Calendar_Table_159e947c-3a71-4d38-8a94-72035f5ce5fb" name="Calendar_Table" connection="Query - Calendar_Table"/>
        </x15:modelTables>
        <x15:modelRelationships>
          <x15:modelRelationship fromTable="Hospital Emergency Room Data" fromColumn="Patient Admission Date" toTable="Calendar_Table" toColumn="Date"/>
        </x15:modelRelationships>
        <x15:extLst>
          <ext xmlns:x16="http://schemas.microsoft.com/office/spreadsheetml/2014/11/main" uri="{9835A34E-60A6-4A7C-AAB8-D5F71C897F49}">
            <x16:modelTimeGroupings>
              <x16:modelTimeGrouping tableName="Calendar_Table" columnName="Date" columnId="Date">
                <x16:calculatedTimeColumn columnName="Date (Year)" columnId="Date (Year)" contentType="years" isSelected="1"/>
                <x16:calculatedTimeColumn columnName="Date (Quarter)" columnId="Date (Quarter)" contentType="quarters" isSelected="1"/>
                <x16:calculatedTimeColumn columnName="Date (Month Index)" columnId="Date (Month Index)" contentType="monthsindex" isSelected="1"/>
                <x16:calculatedTimeColumn columnName="Date (Month)" columnId="Date (Month)" contentType="months" isSelected="1"/>
                <x16:calculatedTimeColumn columnName="Date (Day Index)" columnId="Date (Day Index)" contentType="daysindex" isSelected="0"/>
                <x16:calculatedTimeColumn columnName="Date (Day)" columnId="Date (Day)" contentType="days" isSelected="0"/>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6" i="1" l="1"/>
  <c r="F46" i="1"/>
  <c r="E45" i="1"/>
  <c r="F45" i="1"/>
  <c r="D46" i="1"/>
  <c r="D45"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7C69122-6477-484B-8B92-1F002DA81375}" name="Query - Calendar_Table" description="Connection to the 'Calendar_Table' query in the workbook." type="100" refreshedVersion="8" minRefreshableVersion="5">
    <extLst>
      <ext xmlns:x15="http://schemas.microsoft.com/office/spreadsheetml/2010/11/main" uri="{DE250136-89BD-433C-8126-D09CA5730AF9}">
        <x15:connection id="139b1abf-0ae2-4d15-a4e0-073e4a5f9509"/>
      </ext>
    </extLst>
  </connection>
  <connection id="2" xr16:uid="{115ADF70-4674-4F22-9996-BF315C63F6F3}" name="Query - Hospital Emergency Room Data" description="Connection to the 'Hospital Emergency Room Data' query in the workbook." type="100" refreshedVersion="8" minRefreshableVersion="5">
    <extLst>
      <ext xmlns:x15="http://schemas.microsoft.com/office/spreadsheetml/2010/11/main" uri="{DE250136-89BD-433C-8126-D09CA5730AF9}">
        <x15:connection id="98617892-d07e-412a-b060-80f4a3434815"/>
      </ext>
    </extLst>
  </connection>
  <connection id="3" xr16:uid="{6B4C2E4E-FD19-4215-B985-41E147FAE11C}"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<sst xmlns="http://schemas.openxmlformats.org/spreadsheetml/2006/main" count="59" uniqueCount="45">
  <si>
    <t>Distinct Count of Patient Id</t>
  </si>
  <si>
    <t>No. of patient</t>
  </si>
  <si>
    <t>Average of Patient Waittime</t>
  </si>
  <si>
    <t>Average of Patient Satisfaction Score</t>
  </si>
  <si>
    <t>Row Labels</t>
  </si>
  <si>
    <t>Grand Total</t>
  </si>
  <si>
    <t>Female</t>
  </si>
  <si>
    <t>None</t>
  </si>
  <si>
    <t>Admitted</t>
  </si>
  <si>
    <t>40-49</t>
  </si>
  <si>
    <t>Ontime</t>
  </si>
  <si>
    <t>30-39</t>
  </si>
  <si>
    <t>Delay</t>
  </si>
  <si>
    <t>60-69</t>
  </si>
  <si>
    <t>Male</t>
  </si>
  <si>
    <t>Not Admitted</t>
  </si>
  <si>
    <t>10-19</t>
  </si>
  <si>
    <t>20-29</t>
  </si>
  <si>
    <t>General Practice</t>
  </si>
  <si>
    <t>0-9</t>
  </si>
  <si>
    <t>Orthopedics</t>
  </si>
  <si>
    <t>50-59</t>
  </si>
  <si>
    <t>Physiotherapy</t>
  </si>
  <si>
    <t>Cardiology</t>
  </si>
  <si>
    <t>Gastroenterology</t>
  </si>
  <si>
    <t>70-79</t>
  </si>
  <si>
    <t>Average wait Time</t>
  </si>
  <si>
    <t>Satisfaction Score daily Trend</t>
  </si>
  <si>
    <t>Count of Patient attend Status</t>
  </si>
  <si>
    <t>Count of Patient Admission Flag</t>
  </si>
  <si>
    <t>Count of Patient Admission Flag2</t>
  </si>
  <si>
    <t>Admission status</t>
  </si>
  <si>
    <t>No. of Patient</t>
  </si>
  <si>
    <t>% Status</t>
  </si>
  <si>
    <t>Count of Age Group</t>
  </si>
  <si>
    <t>age group wise analysis</t>
  </si>
  <si>
    <t>Attended Status</t>
  </si>
  <si>
    <t>Count of Patient Gender</t>
  </si>
  <si>
    <t>Gender Analysis</t>
  </si>
  <si>
    <t>Neurology</t>
  </si>
  <si>
    <t>Renal</t>
  </si>
  <si>
    <t>Count of Department Referral</t>
  </si>
  <si>
    <t>2024</t>
  </si>
  <si>
    <t>Qtr2</t>
  </si>
  <si>
    <t>May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</si>
</sst>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 x14ac:knownFonts="1">
    <font>
      <sz val="11"/>
      <color theme="1"/>
      <name val="Aptos Narrow"/>
      <family val="2"/>
      <scheme val="minor"/>
    </font>
    <font>
      <sz val="11"/>
      <color theme="1"/>
      <name val="Aptos Narrow"/>
      <family val="2"/>
      <scheme val="minor"/>
    </font>
    <font>
      <sz val="11"/>
      <color theme="0"/>
      <name val="Aptos Narrow"/>
      <family val="2"/>
      <scheme val="minor"/>
    </font>
  </fonts>
  <fills count="6">
    <fill>
      <patternFill patternType="none"/>
    </fill>
    <fill>
      <patternFill patternType="gray125"/>
    </fill>
    <fill>
      <patternFill patternType="solid">
        <fgColor theme="1" tint="0.499984740745262"/>
        <bgColor indexed="64"/>
      </patternFill>
    </fill>
    <fill>
      <patternFill patternType="solid">
        <fgColor theme="2"/>
        <bgColor indexed="64"/>
      </patternFill>
    </fill>
    <fill>
      <patternFill patternType="solid">
        <fgColor theme="0" tint="-0.249977111117893"/>
        <bgColor indexed="64"/>
      </patternFill>
    </fill>
    <fill>
      <patternFill patternType="solid">
        <fgColor theme="3" tint="0.499984740745262"/>
        <bgColor indexed="64"/>
      </patternFill>
    </fill>
  </fills>
  <borders count="1">
    <border>
      <left/>
      <right/>
      <top/>
      <bottom/>
      <diagonal/>
    </border>
  </borders>
  <cellStyleXfs count="2">
    <xf numFmtId="0" fontId="0" fillId="0" borderId="0"/>
    <xf numFmtId="9" fontId="1" fillId="0" borderId="0" applyFont="0" applyFill="0" applyBorder="0" applyAlignment="0" applyProtection="0"/>
  </cellStyleXfs>
  <cellXfs count="18">
    <xf numFmtId="0" fontId="0" fillId="0" borderId="0" xfId="0"/>
    <xf numFmtId="2" fontId="0" fillId="0" borderId="0" xfId="0" applyNumberFormat="1"/>
    <xf numFmtId="0" fontId="0" fillId="2" borderId="0" xfId="0" applyFill="1"/>
    <xf numFmtId="0" fontId="0" fillId="0" borderId="0" xfId="0" pivotButton="1"/>
    <xf numFmtId="14" fontId="0" fillId="0" borderId="0" xfId="0" applyNumberFormat="1" applyAlignment="1">
      <alignment horizontal="left"/>
    </xf>
    <xf numFmtId="0" fontId="0" fillId="0" borderId="0" xfId="0" applyAlignment="1">
      <alignment horizontal="left"/>
    </xf>
    <xf numFmtId="0" fontId="0" fillId="3" borderId="0" xfId="0" applyFill="1"/>
    <xf numFmtId="0" fontId="0" fillId="4" borderId="0" xfId="0" applyFill="1"/>
    <xf numFmtId="1" fontId="0" fillId="0" borderId="0" xfId="0" applyNumberFormat="1"/>
    <xf numFmtId="10" fontId="0" fillId="0" borderId="0" xfId="0" applyNumberFormat="1"/>
    <xf numFmtId="0" fontId="2" fillId="5" borderId="0" xfId="0" applyFont="1" applyFill="1"/>
    <xf numFmtId="0" fontId="2" fillId="5" borderId="0" xfId="0" applyFont="1" applyFill="1" applyAlignment="1">
      <alignment horizontal="center"/>
    </xf>
    <xf numFmtId="0" fontId="0" fillId="3" borderId="0" xfId="0" applyFill="1" applyAlignment="1">
      <alignment horizontal="center"/>
    </xf>
    <xf numFmtId="9" fontId="0" fillId="3" borderId="0" xfId="1" applyFont="1" applyFill="1" applyAlignment="1">
      <alignment horizontal="center"/>
    </xf>
    <xf numFmtId="0" fontId="0" fillId="0" borderId="0" xfId="0" applyAlignment="1">
      <alignment horizontal="left" indent="1"/>
    </xf>
    <xf numFmtId="0" fontId="0" fillId="0" borderId="0" xfId="0" applyAlignment="1">
      <alignment horizontal="left" indent="2"/>
    </xf>
    <xf numFmtId="14" fontId="0" fillId="0" borderId="0" xfId="0" applyNumberFormat="1" applyAlignment="1">
      <alignment horizontal="left" indent="3"/>
    </xf>
    <xf numFmtId="0" fontId="0" fillId="0" borderId="0" xfId="0"/>
  </cellXfs>
  <cellStyles count="2">
    <cellStyle name="Normal" xfId="0" builtinId="0"/>
    <cellStyle name="Percent" xfId="1" builtinId="5"/>
  </cellStyles>
  <dxfs count="18">
    <dxf>
      <numFmt numFmtId="1" formatCode="0"/>
    </dxf>
    <dxf>
      <numFmt numFmtId="2" formatCode="0.00"/>
    </dxf>
    <dxf>
      <numFmt numFmtId="2" formatCode="0.00"/>
    </dxf>
    <dxf>
      <numFmt numFmtId="1" formatCode="0"/>
    </dxf>
    <dxf>
      <numFmt numFmtId="2" formatCode="0.00"/>
    </dxf>
    <dxf>
      <numFmt numFmtId="2" formatCode="0.00"/>
    </dxf>
    <dxf>
      <numFmt numFmtId="2" formatCode="0.00"/>
    </dxf>
    <dxf>
      <numFmt numFmtId="2" formatCode="0.00"/>
    </dxf>
    <dxf>
      <numFmt numFmtId="2" formatCode="0.00"/>
    </dxf>
    <dxf>
      <numFmt numFmtId="14" formatCode="0.00%"/>
    </dxf>
    <dxf>
      <numFmt numFmtId="1" formatCode="0"/>
    </dxf>
    <dxf>
      <numFmt numFmtId="2" formatCode="0.00"/>
    </dxf>
    <dxf>
      <numFmt numFmtId="2" formatCode="0.00"/>
    </dxf>
    <dxf>
      <numFmt numFmtId="2" formatCode="0.00"/>
    </dxf>
    <dxf>
      <fill>
        <patternFill>
          <fgColor theme="9" tint="-0.24994659260841701"/>
          <bgColor theme="2"/>
        </patternFill>
      </fill>
    </dxf>
    <dxf>
      <fill>
        <patternFill>
          <fgColor theme="6" tint="0.39994506668294322"/>
          <bgColor theme="2"/>
        </patternFill>
      </fill>
    </dxf>
    <dxf>
      <fill>
        <patternFill>
          <bgColor theme="2"/>
        </patternFill>
      </fill>
    </dxf>
    <dxf>
      <font>
        <color theme="2"/>
      </font>
    </dxf>
  </dxfs>
  <tableStyles count="4" defaultTableStyle="TableStyleMedium2" defaultPivotStyle="PivotStyleLight16">
    <tableStyle name="Slicer Style 1" pivot="0" table="0" count="1" xr9:uid="{8C15A4F4-2752-4EA2-ACED-70219695D970}">
      <tableStyleElement type="wholeTable" dxfId="17"/>
    </tableStyle>
    <tableStyle name="Slicer Style 2" pivot="0" table="0" count="1" xr9:uid="{7331E438-290F-4834-B798-E100B465A1B6}">
      <tableStyleElement type="wholeTable" dxfId="16"/>
    </tableStyle>
    <tableStyle name="Slicer Style 3" pivot="0" table="0" count="1" xr9:uid="{C02FC761-6DD2-4F13-BAAC-CC98D8EBA5F3}">
      <tableStyleElement type="wholeTable" dxfId="15"/>
    </tableStyle>
    <tableStyle name="Slicer Style 4" pivot="0" table="0" count="1" xr9:uid="{36873010-266A-4BBE-959A-DA41FECAF598}">
      <tableStyleElement type="wholeTable" dxfId="14"/>
    </tableStyle>
  </tableStyles>
  <extLst>
    <ext xmlns:x14="http://schemas.microsoft.com/office/spreadsheetml/2009/9/main" uri="{EB79DEF2-80B8-43e5-95BD-54CBDDF9020C}">
      <x14:slicerStyles defaultSlicerStyle="SlicerStyleLight1">
        <x14:slicerStyle name="Slicer Style 1"/>
        <x14:slicerStyle name="Slicer Style 2"/>
        <x14:slicerStyle name="Slicer Style 3"/>
        <x14:slicerStyle name="Slicer Style 4"/>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8.xml"/><Relationship Id="rId18" Type="http://schemas.microsoft.com/office/2007/relationships/slicerCache" Target="slicerCaches/slicerCache1.xml"/><Relationship Id="rId26" Type="http://schemas.openxmlformats.org/officeDocument/2006/relationships/customXml" Target="../customXml/item1.xml"/><Relationship Id="rId39" Type="http://schemas.openxmlformats.org/officeDocument/2006/relationships/customXml" Target="../customXml/item14.xml"/><Relationship Id="rId21" Type="http://schemas.openxmlformats.org/officeDocument/2006/relationships/connections" Target="connections.xml"/><Relationship Id="rId34" Type="http://schemas.openxmlformats.org/officeDocument/2006/relationships/customXml" Target="../customXml/item9.xml"/><Relationship Id="rId42" Type="http://schemas.openxmlformats.org/officeDocument/2006/relationships/customXml" Target="../customXml/item17.xml"/><Relationship Id="rId7" Type="http://schemas.openxmlformats.org/officeDocument/2006/relationships/pivotCacheDefinition" Target="pivotCache/pivotCacheDefinition2.xml"/><Relationship Id="rId2" Type="http://schemas.openxmlformats.org/officeDocument/2006/relationships/worksheet" Target="worksheets/sheet2.xml"/><Relationship Id="rId16" Type="http://schemas.openxmlformats.org/officeDocument/2006/relationships/pivotCacheDefinition" Target="pivotCache/pivotCacheDefinition11.xml"/><Relationship Id="rId20" Type="http://schemas.openxmlformats.org/officeDocument/2006/relationships/theme" Target="theme/theme1.xml"/><Relationship Id="rId29" Type="http://schemas.openxmlformats.org/officeDocument/2006/relationships/customXml" Target="../customXml/item4.xml"/><Relationship Id="rId41" Type="http://schemas.openxmlformats.org/officeDocument/2006/relationships/customXml" Target="../customXml/item16.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pivotCacheDefinition" Target="pivotCache/pivotCacheDefinition6.xml"/><Relationship Id="rId24" Type="http://schemas.openxmlformats.org/officeDocument/2006/relationships/powerPivotData" Target="model/item.data"/><Relationship Id="rId32" Type="http://schemas.openxmlformats.org/officeDocument/2006/relationships/customXml" Target="../customXml/item7.xml"/><Relationship Id="rId37" Type="http://schemas.openxmlformats.org/officeDocument/2006/relationships/customXml" Target="../customXml/item12.xml"/><Relationship Id="rId40" Type="http://schemas.openxmlformats.org/officeDocument/2006/relationships/customXml" Target="../customXml/item15.xml"/><Relationship Id="rId5" Type="http://schemas.openxmlformats.org/officeDocument/2006/relationships/worksheet" Target="worksheets/sheet5.xml"/><Relationship Id="rId15" Type="http://schemas.openxmlformats.org/officeDocument/2006/relationships/pivotCacheDefinition" Target="pivotCache/pivotCacheDefinition10.xml"/><Relationship Id="rId23" Type="http://schemas.openxmlformats.org/officeDocument/2006/relationships/sharedStrings" Target="sharedStrings.xml"/><Relationship Id="rId28" Type="http://schemas.openxmlformats.org/officeDocument/2006/relationships/customXml" Target="../customXml/item3.xml"/><Relationship Id="rId36" Type="http://schemas.openxmlformats.org/officeDocument/2006/relationships/customXml" Target="../customXml/item11.xml"/><Relationship Id="rId10" Type="http://schemas.openxmlformats.org/officeDocument/2006/relationships/pivotCacheDefinition" Target="pivotCache/pivotCacheDefinition5.xml"/><Relationship Id="rId19" Type="http://schemas.microsoft.com/office/2007/relationships/slicerCache" Target="slicerCaches/slicerCache2.xml"/><Relationship Id="rId31" Type="http://schemas.openxmlformats.org/officeDocument/2006/relationships/customXml" Target="../customXml/item6.xml"/><Relationship Id="rId44" Type="http://schemas.openxmlformats.org/officeDocument/2006/relationships/customXml" Target="../customXml/item19.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pivotCacheDefinition" Target="pivotCache/pivotCacheDefinition9.xml"/><Relationship Id="rId22" Type="http://schemas.openxmlformats.org/officeDocument/2006/relationships/styles" Target="styles.xml"/><Relationship Id="rId27" Type="http://schemas.openxmlformats.org/officeDocument/2006/relationships/customXml" Target="../customXml/item2.xml"/><Relationship Id="rId30" Type="http://schemas.openxmlformats.org/officeDocument/2006/relationships/customXml" Target="../customXml/item5.xml"/><Relationship Id="rId35" Type="http://schemas.openxmlformats.org/officeDocument/2006/relationships/customXml" Target="../customXml/item10.xml"/><Relationship Id="rId43" Type="http://schemas.openxmlformats.org/officeDocument/2006/relationships/customXml" Target="../customXml/item18.xml"/><Relationship Id="rId8" Type="http://schemas.openxmlformats.org/officeDocument/2006/relationships/pivotCacheDefinition" Target="pivotCache/pivotCacheDefinition3.xml"/><Relationship Id="rId3" Type="http://schemas.openxmlformats.org/officeDocument/2006/relationships/worksheet" Target="worksheets/sheet3.xml"/><Relationship Id="rId12" Type="http://schemas.openxmlformats.org/officeDocument/2006/relationships/pivotCacheDefinition" Target="pivotCache/pivotCacheDefinition7.xml"/><Relationship Id="rId17" Type="http://schemas.openxmlformats.org/officeDocument/2006/relationships/pivotCacheDefinition" Target="pivotCache/pivotCacheDefinition12.xml"/><Relationship Id="rId25" Type="http://schemas.openxmlformats.org/officeDocument/2006/relationships/calcChain" Target="calcChain.xml"/><Relationship Id="rId33" Type="http://schemas.openxmlformats.org/officeDocument/2006/relationships/customXml" Target="../customXml/item8.xml"/><Relationship Id="rId38" Type="http://schemas.openxmlformats.org/officeDocument/2006/relationships/customXml" Target="../customXml/item1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7.xml"/><Relationship Id="rId1" Type="http://schemas.microsoft.com/office/2011/relationships/chartStyle" Target="style7.xml"/></Relationships>
</file>

<file path=xl/charts/_rels/chart9.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0.xml.rels><?xml version="1.0" encoding="UTF-8" standalone="yes"?>
<Relationships xmlns="http://schemas.openxmlformats.org/package/2006/relationships"><Relationship Id="rId3" Type="http://schemas.openxmlformats.org/officeDocument/2006/relationships/chartUserShapes" Target="../drawings/drawing6.xml"/><Relationship Id="rId2" Type="http://schemas.microsoft.com/office/2011/relationships/chartColorStyle" Target="colors9.xml"/><Relationship Id="rId1" Type="http://schemas.microsoft.com/office/2011/relationships/chartStyle" Target="style9.xml"/></Relationships>
</file>

<file path=xl/charts/_rels/chart11.xml.rels><?xml version="1.0" encoding="UTF-8" standalone="yes"?>
<Relationships xmlns="http://schemas.openxmlformats.org/package/2006/relationships"><Relationship Id="rId3" Type="http://schemas.openxmlformats.org/officeDocument/2006/relationships/chartUserShapes" Target="../drawings/drawing8.xml"/><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[Hosptial ER Sheet.xlsx]Pivot Report!PivotTable1</c:name>
    <c:fmtId val="8"/>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9489891169461554E-2"/>
          <c:y val="0.55947716535433067"/>
          <c:w val="0.90445168295331158"/>
          <c:h val="0.43408983297655329"/>
        </c:manualLayout>
      </c:layout>
      <c:areaChart>
        <c:grouping val="standard"/>
        <c:varyColors val="0"/>
        <c:ser>
          <c:idx val="0"/>
          <c:order val="0"/>
          <c:tx>
            <c:strRef>
              <c:f>'Pivot Report'!$J$5</c:f>
              <c:strCache>
                <c:ptCount val="1"/>
                <c:pt idx="0">
                  <c:v>Total</c:v>
                </c:pt>
              </c:strCache>
            </c:strRef>
          </c:tx>
          <c:spPr>
            <a:solidFill>
              <a:schemeClr val="accent1"/>
            </a:solidFill>
            <a:ln w="25400">
              <a:noFill/>
            </a:ln>
            <a:effectLst/>
          </c:spPr>
          <c:cat>
            <c:strRef>
              <c:f>'Pivot Report'!$I$6:$I$36</c:f>
              <c:strCache>
                <c:ptCount val="31"/>
                <c:pt idx="0">
                  <c:v>01-05-2024</c:v>
                </c:pt>
                <c:pt idx="1">
                  <c:v>02-05-2024</c:v>
                </c:pt>
                <c:pt idx="2">
                  <c:v>03-05-2024</c:v>
                </c:pt>
                <c:pt idx="3">
                  <c:v>04-05-2024</c:v>
                </c:pt>
                <c:pt idx="4">
                  <c:v>05-05-2024</c:v>
                </c:pt>
                <c:pt idx="5">
                  <c:v>06-05-2024</c:v>
                </c:pt>
                <c:pt idx="6">
                  <c:v>07-05-2024</c:v>
                </c:pt>
                <c:pt idx="7">
                  <c:v>08-05-2024</c:v>
                </c:pt>
                <c:pt idx="8">
                  <c:v>09-05-2024</c:v>
                </c:pt>
                <c:pt idx="9">
                  <c:v>10-05-2024</c:v>
                </c:pt>
                <c:pt idx="10">
                  <c:v>11-05-2024</c:v>
                </c:pt>
                <c:pt idx="11">
                  <c:v>12-05-2024</c:v>
                </c:pt>
                <c:pt idx="12">
                  <c:v>13-05-2024</c:v>
                </c:pt>
                <c:pt idx="13">
                  <c:v>14-05-2024</c:v>
                </c:pt>
                <c:pt idx="14">
                  <c:v>15-05-2024</c:v>
                </c:pt>
                <c:pt idx="15">
                  <c:v>16-05-2024</c:v>
                </c:pt>
                <c:pt idx="16">
                  <c:v>17-05-2024</c:v>
                </c:pt>
                <c:pt idx="17">
                  <c:v>18-05-2024</c:v>
                </c:pt>
                <c:pt idx="18">
                  <c:v>19-05-2024</c:v>
                </c:pt>
                <c:pt idx="19">
                  <c:v>20-05-2024</c:v>
                </c:pt>
                <c:pt idx="20">
                  <c:v>21-05-2024</c:v>
                </c:pt>
                <c:pt idx="21">
                  <c:v>22-05-2024</c:v>
                </c:pt>
                <c:pt idx="22">
                  <c:v>23-05-2024</c:v>
                </c:pt>
                <c:pt idx="23">
                  <c:v>24-05-2024</c:v>
                </c:pt>
                <c:pt idx="24">
                  <c:v>25-05-2024</c:v>
                </c:pt>
                <c:pt idx="25">
                  <c:v>26-05-2024</c:v>
                </c:pt>
                <c:pt idx="26">
                  <c:v>27-05-2024</c:v>
                </c:pt>
                <c:pt idx="27">
                  <c:v>28-05-2024</c:v>
                </c:pt>
                <c:pt idx="28">
                  <c:v>29-05-2024</c:v>
                </c:pt>
                <c:pt idx="29">
                  <c:v>30-05-2024</c:v>
                </c:pt>
                <c:pt idx="30">
                  <c:v>31-05-2024</c:v>
                </c:pt>
              </c:strCache>
            </c:strRef>
          </c:cat>
          <c:val>
            <c:numRef>
              <c:f>'Pivot Report'!$J$6:$J$36</c:f>
              <c:numCache>
                <c:formatCode>0.00</c:formatCode>
                <c:ptCount val="31"/>
                <c:pt idx="0">
                  <c:v>35.642857142857146</c:v>
                </c:pt>
                <c:pt idx="1">
                  <c:v>27</c:v>
                </c:pt>
                <c:pt idx="2">
                  <c:v>36.047619047619051</c:v>
                </c:pt>
                <c:pt idx="3">
                  <c:v>38.866666666666667</c:v>
                </c:pt>
                <c:pt idx="4">
                  <c:v>35.909090909090907</c:v>
                </c:pt>
                <c:pt idx="5">
                  <c:v>38.470588235294116</c:v>
                </c:pt>
                <c:pt idx="6">
                  <c:v>36.733333333333334</c:v>
                </c:pt>
                <c:pt idx="7">
                  <c:v>34.588235294117645</c:v>
                </c:pt>
                <c:pt idx="8">
                  <c:v>37.53846153846154</c:v>
                </c:pt>
                <c:pt idx="9">
                  <c:v>31.708333333333332</c:v>
                </c:pt>
                <c:pt idx="10">
                  <c:v>28.923076923076923</c:v>
                </c:pt>
                <c:pt idx="11">
                  <c:v>42.071428571428569</c:v>
                </c:pt>
                <c:pt idx="12">
                  <c:v>35.833333333333336</c:v>
                </c:pt>
                <c:pt idx="13">
                  <c:v>28.727272727272727</c:v>
                </c:pt>
                <c:pt idx="14">
                  <c:v>35.75</c:v>
                </c:pt>
                <c:pt idx="15">
                  <c:v>34.75</c:v>
                </c:pt>
                <c:pt idx="16">
                  <c:v>37.666666666666664</c:v>
                </c:pt>
                <c:pt idx="17">
                  <c:v>40.421052631578945</c:v>
                </c:pt>
                <c:pt idx="18">
                  <c:v>33.75</c:v>
                </c:pt>
                <c:pt idx="19">
                  <c:v>32.764705882352942</c:v>
                </c:pt>
                <c:pt idx="20">
                  <c:v>37.357142857142854</c:v>
                </c:pt>
                <c:pt idx="21">
                  <c:v>37.227272727272727</c:v>
                </c:pt>
                <c:pt idx="22">
                  <c:v>36.700000000000003</c:v>
                </c:pt>
                <c:pt idx="23">
                  <c:v>43.058823529411768</c:v>
                </c:pt>
                <c:pt idx="24">
                  <c:v>39.777777777777779</c:v>
                </c:pt>
                <c:pt idx="25">
                  <c:v>40.692307692307693</c:v>
                </c:pt>
                <c:pt idx="26">
                  <c:v>34.46153846153846</c:v>
                </c:pt>
                <c:pt idx="27">
                  <c:v>30.307692307692307</c:v>
                </c:pt>
                <c:pt idx="28">
                  <c:v>38.5</c:v>
                </c:pt>
                <c:pt idx="29">
                  <c:v>35.333333333333336</c:v>
                </c:pt>
                <c:pt idx="30">
                  <c:v>32.421052631578945</c:v>
                </c:pt>
              </c:numCache>
            </c:numRef>
          </c:val>
          <c:extLst>
            <c:ext xmlns:c16="http://schemas.microsoft.com/office/drawing/2014/chart" uri="{C3380CC4-5D6E-409C-BE32-E72D297353CC}">
              <c16:uniqueId val="{00000003-7A88-4BF6-B98E-EAFB69D1F4A3}"/>
            </c:ext>
          </c:extLst>
        </c:ser>
        <c:dLbls>
          <c:showLegendKey val="0"/>
          <c:showVal val="0"/>
          <c:showCatName val="0"/>
          <c:showSerName val="0"/>
          <c:showPercent val="0"/>
          <c:showBubbleSize val="0"/>
        </c:dLbls>
        <c:axId val="1187082896"/>
        <c:axId val="1187083256"/>
      </c:areaChart>
      <c:catAx>
        <c:axId val="1187082896"/>
        <c:scaling>
          <c:orientation val="minMax"/>
        </c:scaling>
        <c:delete val="1"/>
        <c:axPos val="b"/>
        <c:numFmt formatCode="General" sourceLinked="1"/>
        <c:majorTickMark val="out"/>
        <c:minorTickMark val="none"/>
        <c:tickLblPos val="nextTo"/>
        <c:crossAx val="1187083256"/>
        <c:crosses val="autoZero"/>
        <c:auto val="1"/>
        <c:lblAlgn val="ctr"/>
        <c:lblOffset val="100"/>
        <c:noMultiLvlLbl val="0"/>
      </c:catAx>
      <c:valAx>
        <c:axId val="1187083256"/>
        <c:scaling>
          <c:orientation val="minMax"/>
        </c:scaling>
        <c:delete val="1"/>
        <c:axPos val="l"/>
        <c:numFmt formatCode="0.00" sourceLinked="1"/>
        <c:majorTickMark val="none"/>
        <c:minorTickMark val="none"/>
        <c:tickLblPos val="nextTo"/>
        <c:crossAx val="1187082896"/>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[Hosptial ER Sheet.xlsx]Pivot Report!PivotTable1</c:name>
    <c:fmtId val="19"/>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4.7789108328672031E-3"/>
          <c:y val="0"/>
          <c:w val="0.99522102568077808"/>
          <c:h val="1"/>
        </c:manualLayout>
      </c:layout>
      <c:areaChart>
        <c:grouping val="standard"/>
        <c:varyColors val="0"/>
        <c:ser>
          <c:idx val="0"/>
          <c:order val="0"/>
          <c:tx>
            <c:strRef>
              <c:f>'Pivot Report'!$J$5</c:f>
              <c:strCache>
                <c:ptCount val="1"/>
                <c:pt idx="0">
                  <c:v>Total</c:v>
                </c:pt>
              </c:strCache>
            </c:strRef>
          </c:tx>
          <c:spPr>
            <a:solidFill>
              <a:schemeClr val="accent1"/>
            </a:solidFill>
            <a:ln w="25400">
              <a:noFill/>
            </a:ln>
            <a:effectLst/>
          </c:spPr>
          <c:cat>
            <c:strRef>
              <c:f>'Pivot Report'!$I$6:$I$36</c:f>
              <c:strCache>
                <c:ptCount val="31"/>
                <c:pt idx="0">
                  <c:v>01-05-2024</c:v>
                </c:pt>
                <c:pt idx="1">
                  <c:v>02-05-2024</c:v>
                </c:pt>
                <c:pt idx="2">
                  <c:v>03-05-2024</c:v>
                </c:pt>
                <c:pt idx="3">
                  <c:v>04-05-2024</c:v>
                </c:pt>
                <c:pt idx="4">
                  <c:v>05-05-2024</c:v>
                </c:pt>
                <c:pt idx="5">
                  <c:v>06-05-2024</c:v>
                </c:pt>
                <c:pt idx="6">
                  <c:v>07-05-2024</c:v>
                </c:pt>
                <c:pt idx="7">
                  <c:v>08-05-2024</c:v>
                </c:pt>
                <c:pt idx="8">
                  <c:v>09-05-2024</c:v>
                </c:pt>
                <c:pt idx="9">
                  <c:v>10-05-2024</c:v>
                </c:pt>
                <c:pt idx="10">
                  <c:v>11-05-2024</c:v>
                </c:pt>
                <c:pt idx="11">
                  <c:v>12-05-2024</c:v>
                </c:pt>
                <c:pt idx="12">
                  <c:v>13-05-2024</c:v>
                </c:pt>
                <c:pt idx="13">
                  <c:v>14-05-2024</c:v>
                </c:pt>
                <c:pt idx="14">
                  <c:v>15-05-2024</c:v>
                </c:pt>
                <c:pt idx="15">
                  <c:v>16-05-2024</c:v>
                </c:pt>
                <c:pt idx="16">
                  <c:v>17-05-2024</c:v>
                </c:pt>
                <c:pt idx="17">
                  <c:v>18-05-2024</c:v>
                </c:pt>
                <c:pt idx="18">
                  <c:v>19-05-2024</c:v>
                </c:pt>
                <c:pt idx="19">
                  <c:v>20-05-2024</c:v>
                </c:pt>
                <c:pt idx="20">
                  <c:v>21-05-2024</c:v>
                </c:pt>
                <c:pt idx="21">
                  <c:v>22-05-2024</c:v>
                </c:pt>
                <c:pt idx="22">
                  <c:v>23-05-2024</c:v>
                </c:pt>
                <c:pt idx="23">
                  <c:v>24-05-2024</c:v>
                </c:pt>
                <c:pt idx="24">
                  <c:v>25-05-2024</c:v>
                </c:pt>
                <c:pt idx="25">
                  <c:v>26-05-2024</c:v>
                </c:pt>
                <c:pt idx="26">
                  <c:v>27-05-2024</c:v>
                </c:pt>
                <c:pt idx="27">
                  <c:v>28-05-2024</c:v>
                </c:pt>
                <c:pt idx="28">
                  <c:v>29-05-2024</c:v>
                </c:pt>
                <c:pt idx="29">
                  <c:v>30-05-2024</c:v>
                </c:pt>
                <c:pt idx="30">
                  <c:v>31-05-2024</c:v>
                </c:pt>
              </c:strCache>
            </c:strRef>
          </c:cat>
          <c:val>
            <c:numRef>
              <c:f>'Pivot Report'!$J$6:$J$36</c:f>
              <c:numCache>
                <c:formatCode>0.00</c:formatCode>
                <c:ptCount val="31"/>
                <c:pt idx="0">
                  <c:v>35.642857142857146</c:v>
                </c:pt>
                <c:pt idx="1">
                  <c:v>27</c:v>
                </c:pt>
                <c:pt idx="2">
                  <c:v>36.047619047619051</c:v>
                </c:pt>
                <c:pt idx="3">
                  <c:v>38.866666666666667</c:v>
                </c:pt>
                <c:pt idx="4">
                  <c:v>35.909090909090907</c:v>
                </c:pt>
                <c:pt idx="5">
                  <c:v>38.470588235294116</c:v>
                </c:pt>
                <c:pt idx="6">
                  <c:v>36.733333333333334</c:v>
                </c:pt>
                <c:pt idx="7">
                  <c:v>34.588235294117645</c:v>
                </c:pt>
                <c:pt idx="8">
                  <c:v>37.53846153846154</c:v>
                </c:pt>
                <c:pt idx="9">
                  <c:v>31.708333333333332</c:v>
                </c:pt>
                <c:pt idx="10">
                  <c:v>28.923076923076923</c:v>
                </c:pt>
                <c:pt idx="11">
                  <c:v>42.071428571428569</c:v>
                </c:pt>
                <c:pt idx="12">
                  <c:v>35.833333333333336</c:v>
                </c:pt>
                <c:pt idx="13">
                  <c:v>28.727272727272727</c:v>
                </c:pt>
                <c:pt idx="14">
                  <c:v>35.75</c:v>
                </c:pt>
                <c:pt idx="15">
                  <c:v>34.75</c:v>
                </c:pt>
                <c:pt idx="16">
                  <c:v>37.666666666666664</c:v>
                </c:pt>
                <c:pt idx="17">
                  <c:v>40.421052631578945</c:v>
                </c:pt>
                <c:pt idx="18">
                  <c:v>33.75</c:v>
                </c:pt>
                <c:pt idx="19">
                  <c:v>32.764705882352942</c:v>
                </c:pt>
                <c:pt idx="20">
                  <c:v>37.357142857142854</c:v>
                </c:pt>
                <c:pt idx="21">
                  <c:v>37.227272727272727</c:v>
                </c:pt>
                <c:pt idx="22">
                  <c:v>36.700000000000003</c:v>
                </c:pt>
                <c:pt idx="23">
                  <c:v>43.058823529411768</c:v>
                </c:pt>
                <c:pt idx="24">
                  <c:v>39.777777777777779</c:v>
                </c:pt>
                <c:pt idx="25">
                  <c:v>40.692307692307693</c:v>
                </c:pt>
                <c:pt idx="26">
                  <c:v>34.46153846153846</c:v>
                </c:pt>
                <c:pt idx="27">
                  <c:v>30.307692307692307</c:v>
                </c:pt>
                <c:pt idx="28">
                  <c:v>38.5</c:v>
                </c:pt>
                <c:pt idx="29">
                  <c:v>35.333333333333336</c:v>
                </c:pt>
                <c:pt idx="30">
                  <c:v>32.421052631578945</c:v>
                </c:pt>
              </c:numCache>
            </c:numRef>
          </c:val>
          <c:extLst>
            <c:ext xmlns:c16="http://schemas.microsoft.com/office/drawing/2014/chart" uri="{C3380CC4-5D6E-409C-BE32-E72D297353CC}">
              <c16:uniqueId val="{00000003-AFE8-4711-91E0-4F2F52531C1E}"/>
            </c:ext>
          </c:extLst>
        </c:ser>
        <c:dLbls>
          <c:showLegendKey val="0"/>
          <c:showVal val="0"/>
          <c:showCatName val="0"/>
          <c:showSerName val="0"/>
          <c:showPercent val="0"/>
          <c:showBubbleSize val="0"/>
        </c:dLbls>
        <c:axId val="1218406200"/>
        <c:axId val="1218409800"/>
      </c:areaChart>
      <c:catAx>
        <c:axId val="1218406200"/>
        <c:scaling>
          <c:orientation val="minMax"/>
        </c:scaling>
        <c:delete val="1"/>
        <c:axPos val="b"/>
        <c:numFmt formatCode="General" sourceLinked="1"/>
        <c:majorTickMark val="out"/>
        <c:minorTickMark val="none"/>
        <c:tickLblPos val="nextTo"/>
        <c:crossAx val="1218409800"/>
        <c:crosses val="autoZero"/>
        <c:auto val="1"/>
        <c:lblAlgn val="ctr"/>
        <c:lblOffset val="100"/>
        <c:noMultiLvlLbl val="0"/>
      </c:catAx>
      <c:valAx>
        <c:axId val="1218409800"/>
        <c:scaling>
          <c:orientation val="minMax"/>
        </c:scaling>
        <c:delete val="1"/>
        <c:axPos val="l"/>
        <c:numFmt formatCode="0.00" sourceLinked="1"/>
        <c:majorTickMark val="none"/>
        <c:minorTickMark val="none"/>
        <c:tickLblPos val="nextTo"/>
        <c:crossAx val="1218406200"/>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[Hosptial ER Sheet.xlsx]Pivot Report!PivotTable2</c:name>
    <c:fmtId val="26"/>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
          <c:y val="0"/>
          <c:w val="1"/>
          <c:h val="1"/>
        </c:manualLayout>
      </c:layout>
      <c:areaChart>
        <c:grouping val="standard"/>
        <c:varyColors val="0"/>
        <c:ser>
          <c:idx val="0"/>
          <c:order val="0"/>
          <c:tx>
            <c:strRef>
              <c:f>'Pivot Report'!$N$5</c:f>
              <c:strCache>
                <c:ptCount val="1"/>
                <c:pt idx="0">
                  <c:v>Total</c:v>
                </c:pt>
              </c:strCache>
            </c:strRef>
          </c:tx>
          <c:spPr>
            <a:solidFill>
              <a:schemeClr val="accent1"/>
            </a:solidFill>
            <a:ln w="25400">
              <a:noFill/>
            </a:ln>
            <a:effectLst/>
          </c:spPr>
          <c:cat>
            <c:strRef>
              <c:f>'Pivot Report'!$M$6:$M$36</c:f>
              <c:strCache>
                <c:ptCount val="31"/>
                <c:pt idx="0">
                  <c:v>01-05-2024</c:v>
                </c:pt>
                <c:pt idx="1">
                  <c:v>02-05-2024</c:v>
                </c:pt>
                <c:pt idx="2">
                  <c:v>03-05-2024</c:v>
                </c:pt>
                <c:pt idx="3">
                  <c:v>04-05-2024</c:v>
                </c:pt>
                <c:pt idx="4">
                  <c:v>05-05-2024</c:v>
                </c:pt>
                <c:pt idx="5">
                  <c:v>06-05-2024</c:v>
                </c:pt>
                <c:pt idx="6">
                  <c:v>07-05-2024</c:v>
                </c:pt>
                <c:pt idx="7">
                  <c:v>08-05-2024</c:v>
                </c:pt>
                <c:pt idx="8">
                  <c:v>09-05-2024</c:v>
                </c:pt>
                <c:pt idx="9">
                  <c:v>10-05-2024</c:v>
                </c:pt>
                <c:pt idx="10">
                  <c:v>11-05-2024</c:v>
                </c:pt>
                <c:pt idx="11">
                  <c:v>12-05-2024</c:v>
                </c:pt>
                <c:pt idx="12">
                  <c:v>13-05-2024</c:v>
                </c:pt>
                <c:pt idx="13">
                  <c:v>14-05-2024</c:v>
                </c:pt>
                <c:pt idx="14">
                  <c:v>15-05-2024</c:v>
                </c:pt>
                <c:pt idx="15">
                  <c:v>16-05-2024</c:v>
                </c:pt>
                <c:pt idx="16">
                  <c:v>17-05-2024</c:v>
                </c:pt>
                <c:pt idx="17">
                  <c:v>18-05-2024</c:v>
                </c:pt>
                <c:pt idx="18">
                  <c:v>19-05-2024</c:v>
                </c:pt>
                <c:pt idx="19">
                  <c:v>20-05-2024</c:v>
                </c:pt>
                <c:pt idx="20">
                  <c:v>21-05-2024</c:v>
                </c:pt>
                <c:pt idx="21">
                  <c:v>22-05-2024</c:v>
                </c:pt>
                <c:pt idx="22">
                  <c:v>23-05-2024</c:v>
                </c:pt>
                <c:pt idx="23">
                  <c:v>24-05-2024</c:v>
                </c:pt>
                <c:pt idx="24">
                  <c:v>25-05-2024</c:v>
                </c:pt>
                <c:pt idx="25">
                  <c:v>26-05-2024</c:v>
                </c:pt>
                <c:pt idx="26">
                  <c:v>27-05-2024</c:v>
                </c:pt>
                <c:pt idx="27">
                  <c:v>28-05-2024</c:v>
                </c:pt>
                <c:pt idx="28">
                  <c:v>29-05-2024</c:v>
                </c:pt>
                <c:pt idx="29">
                  <c:v>30-05-2024</c:v>
                </c:pt>
                <c:pt idx="30">
                  <c:v>31-05-2024</c:v>
                </c:pt>
              </c:strCache>
            </c:strRef>
          </c:cat>
          <c:val>
            <c:numRef>
              <c:f>'Pivot Report'!$N$6:$N$36</c:f>
              <c:numCache>
                <c:formatCode>0.00</c:formatCode>
                <c:ptCount val="31"/>
                <c:pt idx="0">
                  <c:v>7.4</c:v>
                </c:pt>
                <c:pt idx="1">
                  <c:v>5.6</c:v>
                </c:pt>
                <c:pt idx="2">
                  <c:v>6.7142857142857144</c:v>
                </c:pt>
                <c:pt idx="3">
                  <c:v>6</c:v>
                </c:pt>
                <c:pt idx="4">
                  <c:v>4</c:v>
                </c:pt>
                <c:pt idx="5">
                  <c:v>4.7142857142857144</c:v>
                </c:pt>
                <c:pt idx="6">
                  <c:v>1.8</c:v>
                </c:pt>
                <c:pt idx="7">
                  <c:v>4.833333333333333</c:v>
                </c:pt>
                <c:pt idx="8">
                  <c:v>4.25</c:v>
                </c:pt>
                <c:pt idx="9">
                  <c:v>4.5999999999999996</c:v>
                </c:pt>
                <c:pt idx="10">
                  <c:v>6.5</c:v>
                </c:pt>
                <c:pt idx="11">
                  <c:v>5</c:v>
                </c:pt>
                <c:pt idx="12">
                  <c:v>6</c:v>
                </c:pt>
                <c:pt idx="13">
                  <c:v>4.7142857142857144</c:v>
                </c:pt>
                <c:pt idx="14">
                  <c:v>4.2</c:v>
                </c:pt>
                <c:pt idx="15">
                  <c:v>7.2</c:v>
                </c:pt>
                <c:pt idx="16">
                  <c:v>4.333333333333333</c:v>
                </c:pt>
                <c:pt idx="17">
                  <c:v>3.7777777777777777</c:v>
                </c:pt>
                <c:pt idx="18">
                  <c:v>3.6666666666666665</c:v>
                </c:pt>
                <c:pt idx="19">
                  <c:v>4</c:v>
                </c:pt>
                <c:pt idx="20">
                  <c:v>5.833333333333333</c:v>
                </c:pt>
                <c:pt idx="21">
                  <c:v>5.666666666666667</c:v>
                </c:pt>
                <c:pt idx="22">
                  <c:v>5.5</c:v>
                </c:pt>
                <c:pt idx="23">
                  <c:v>5.5</c:v>
                </c:pt>
                <c:pt idx="24">
                  <c:v>7</c:v>
                </c:pt>
                <c:pt idx="25">
                  <c:v>7</c:v>
                </c:pt>
                <c:pt idx="26">
                  <c:v>4</c:v>
                </c:pt>
                <c:pt idx="27">
                  <c:v>4.4444444444444446</c:v>
                </c:pt>
                <c:pt idx="28">
                  <c:v>4.8571428571428568</c:v>
                </c:pt>
                <c:pt idx="29">
                  <c:v>5.5714285714285712</c:v>
                </c:pt>
                <c:pt idx="30">
                  <c:v>6</c:v>
                </c:pt>
              </c:numCache>
            </c:numRef>
          </c:val>
          <c:extLst>
            <c:ext xmlns:c16="http://schemas.microsoft.com/office/drawing/2014/chart" uri="{C3380CC4-5D6E-409C-BE32-E72D297353CC}">
              <c16:uniqueId val="{00000003-B89D-4CB1-AD9B-DD91A1A486F5}"/>
            </c:ext>
          </c:extLst>
        </c:ser>
        <c:dLbls>
          <c:showLegendKey val="0"/>
          <c:showVal val="0"/>
          <c:showCatName val="0"/>
          <c:showSerName val="0"/>
          <c:showPercent val="0"/>
          <c:showBubbleSize val="0"/>
        </c:dLbls>
        <c:axId val="1226410176"/>
        <c:axId val="1226411256"/>
      </c:areaChart>
      <c:catAx>
        <c:axId val="1226410176"/>
        <c:scaling>
          <c:orientation val="minMax"/>
        </c:scaling>
        <c:delete val="1"/>
        <c:axPos val="b"/>
        <c:numFmt formatCode="General" sourceLinked="1"/>
        <c:majorTickMark val="out"/>
        <c:minorTickMark val="none"/>
        <c:tickLblPos val="nextTo"/>
        <c:crossAx val="1226411256"/>
        <c:crosses val="autoZero"/>
        <c:auto val="1"/>
        <c:lblAlgn val="ctr"/>
        <c:lblOffset val="100"/>
        <c:noMultiLvlLbl val="0"/>
      </c:catAx>
      <c:valAx>
        <c:axId val="1226411256"/>
        <c:scaling>
          <c:orientation val="minMax"/>
        </c:scaling>
        <c:delete val="1"/>
        <c:axPos val="l"/>
        <c:numFmt formatCode="0.00" sourceLinked="1"/>
        <c:majorTickMark val="none"/>
        <c:minorTickMark val="none"/>
        <c:tickLblPos val="nextTo"/>
        <c:crossAx val="1226410176"/>
        <c:crosses val="autoZero"/>
        <c:crossBetween val="midCat"/>
      </c:valAx>
      <c:spPr>
        <a:noFill/>
        <a:ln>
          <a:solidFill>
            <a:schemeClr val="lt1">
              <a:shade val="50000"/>
            </a:schemeClr>
          </a:solid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2"/>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[Hosptial ER Sheet.xlsx]Pivot Report!PivotTable7</c:name>
    <c:fmtId val="3"/>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3303149606299231E-2"/>
          <c:y val="7.407407407407407E-2"/>
          <c:w val="0.87114129483814529"/>
          <c:h val="0.64369827665493018"/>
        </c:manualLayout>
      </c:layout>
      <c:barChart>
        <c:barDir val="col"/>
        <c:grouping val="clustered"/>
        <c:varyColors val="0"/>
        <c:ser>
          <c:idx val="0"/>
          <c:order val="0"/>
          <c:tx>
            <c:strRef>
              <c:f>'Pivot Report'!$D$53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Report'!$C$54:$C$62</c:f>
              <c:strCache>
                <c:ptCount val="8"/>
                <c:pt idx="0">
                  <c:v>0-9</c:v>
                </c:pt>
                <c:pt idx="1">
                  <c:v>10-19</c:v>
                </c:pt>
                <c:pt idx="2">
                  <c:v>20-29</c:v>
                </c:pt>
                <c:pt idx="3">
                  <c:v>30-39</c:v>
                </c:pt>
                <c:pt idx="4">
                  <c:v>40-49</c:v>
                </c:pt>
                <c:pt idx="5">
                  <c:v>50-59</c:v>
                </c:pt>
                <c:pt idx="6">
                  <c:v>60-69</c:v>
                </c:pt>
                <c:pt idx="7">
                  <c:v>70-79</c:v>
                </c:pt>
              </c:strCache>
            </c:strRef>
          </c:cat>
          <c:val>
            <c:numRef>
              <c:f>'Pivot Report'!$D$54:$D$62</c:f>
              <c:numCache>
                <c:formatCode>0.00</c:formatCode>
                <c:ptCount val="8"/>
                <c:pt idx="0">
                  <c:v>73</c:v>
                </c:pt>
                <c:pt idx="1">
                  <c:v>64</c:v>
                </c:pt>
                <c:pt idx="2">
                  <c:v>74</c:v>
                </c:pt>
                <c:pt idx="3">
                  <c:v>71</c:v>
                </c:pt>
                <c:pt idx="4">
                  <c:v>58</c:v>
                </c:pt>
                <c:pt idx="5">
                  <c:v>68</c:v>
                </c:pt>
                <c:pt idx="6">
                  <c:v>62</c:v>
                </c:pt>
                <c:pt idx="7">
                  <c:v>49</c:v>
                </c:pt>
              </c:numCache>
            </c:numRef>
          </c:val>
          <c:extLst>
            <c:ext xmlns:c16="http://schemas.microsoft.com/office/drawing/2014/chart" uri="{C3380CC4-5D6E-409C-BE32-E72D297353CC}">
              <c16:uniqueId val="{00000003-91C8-484A-903E-04A22B275BD4}"/>
            </c:ext>
          </c:extLst>
        </c:ser>
        <c:dLbls>
          <c:showLegendKey val="0"/>
          <c:showVal val="0"/>
          <c:showCatName val="0"/>
          <c:showSerName val="0"/>
          <c:showPercent val="0"/>
          <c:showBubbleSize val="0"/>
        </c:dLbls>
        <c:gapWidth val="219"/>
        <c:overlap val="-27"/>
        <c:axId val="1289348848"/>
        <c:axId val="1289350648"/>
      </c:barChart>
      <c:catAx>
        <c:axId val="12893488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9350648"/>
        <c:crosses val="autoZero"/>
        <c:auto val="1"/>
        <c:lblAlgn val="ctr"/>
        <c:lblOffset val="100"/>
        <c:noMultiLvlLbl val="0"/>
      </c:catAx>
      <c:valAx>
        <c:axId val="1289350648"/>
        <c:scaling>
          <c:orientation val="minMax"/>
        </c:scaling>
        <c:delete val="1"/>
        <c:axPos val="l"/>
        <c:numFmt formatCode="0.00" sourceLinked="1"/>
        <c:majorTickMark val="none"/>
        <c:minorTickMark val="none"/>
        <c:tickLblPos val="nextTo"/>
        <c:crossAx val="12893488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[Hosptial ER Sheet.xlsx]Pivot Report!PivotTable8</c:name>
    <c:fmtId val="6"/>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spPr>
          <a:solidFill>
            <a:schemeClr val="accent1"/>
          </a:solidFill>
          <a:ln>
            <a:noFill/>
          </a:ln>
          <a:effectLst>
            <a:outerShdw sx="1000" sy="1000" algn="ctr" rotWithShape="0">
              <a:prstClr val="black"/>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5"/>
        <c:spPr>
          <a:solidFill>
            <a:schemeClr val="accent1"/>
          </a:solidFill>
          <a:ln>
            <a:noFill/>
          </a:ln>
          <a:effectLst>
            <a:outerShdw sx="1000" sy="1000" algn="ctr" rotWithShape="0">
              <a:prstClr val="black"/>
            </a:outerShdw>
          </a:effectLst>
        </c:spPr>
      </c:pivotFmt>
      <c:pivotFmt>
        <c:idx val="6"/>
        <c:spPr>
          <a:solidFill>
            <a:schemeClr val="accent1"/>
          </a:solidFill>
          <a:ln>
            <a:noFill/>
          </a:ln>
          <a:effectLst>
            <a:outerShdw sx="1000" sy="1000" algn="ctr" rotWithShape="0">
              <a:prstClr val="black"/>
            </a:outerShdw>
          </a:effectLst>
        </c:spPr>
      </c:pivotFmt>
    </c:pivotFmts>
    <c:plotArea>
      <c:layout>
        <c:manualLayout>
          <c:layoutTarget val="inner"/>
          <c:xMode val="edge"/>
          <c:yMode val="edge"/>
          <c:x val="0.14567118796558826"/>
          <c:y val="0.1494028871391076"/>
          <c:w val="0.77522723331191512"/>
          <c:h val="0.85059711286089235"/>
        </c:manualLayout>
      </c:layout>
      <c:pieChart>
        <c:varyColors val="1"/>
        <c:ser>
          <c:idx val="0"/>
          <c:order val="0"/>
          <c:tx>
            <c:strRef>
              <c:f>'Pivot Report'!$D$67</c:f>
              <c:strCache>
                <c:ptCount val="1"/>
                <c:pt idx="0">
                  <c:v>Total</c:v>
                </c:pt>
              </c:strCache>
            </c:strRef>
          </c:tx>
          <c:spPr>
            <a:effectLst>
              <a:outerShdw sx="1000" sy="1000" algn="ctr" rotWithShape="0">
                <a:prstClr val="black"/>
              </a:outerShdw>
            </a:effectLst>
          </c:spPr>
          <c:dPt>
            <c:idx val="0"/>
            <c:bubble3D val="0"/>
            <c:spPr>
              <a:solidFill>
                <a:schemeClr val="accent1"/>
              </a:solidFill>
              <a:ln>
                <a:noFill/>
              </a:ln>
              <a:effectLst>
                <a:outerShdw sx="1000" sy="1000" algn="ctr" rotWithShape="0">
                  <a:prstClr val="black"/>
                </a:outerShdw>
              </a:effectLst>
            </c:spPr>
            <c:extLst>
              <c:ext xmlns:c16="http://schemas.microsoft.com/office/drawing/2014/chart" uri="{C3380CC4-5D6E-409C-BE32-E72D297353CC}">
                <c16:uniqueId val="{00000001-4739-4092-8CE9-2CEF3F118AE3}"/>
              </c:ext>
            </c:extLst>
          </c:dPt>
          <c:dPt>
            <c:idx val="1"/>
            <c:bubble3D val="0"/>
            <c:spPr>
              <a:solidFill>
                <a:schemeClr val="accent2"/>
              </a:solidFill>
              <a:ln>
                <a:noFill/>
              </a:ln>
              <a:effectLst>
                <a:outerShdw sx="1000" sy="1000" algn="ctr" rotWithShape="0">
                  <a:prstClr val="black"/>
                </a:outerShdw>
              </a:effectLst>
            </c:spPr>
            <c:extLst>
              <c:ext xmlns:c16="http://schemas.microsoft.com/office/drawing/2014/chart" uri="{C3380CC4-5D6E-409C-BE32-E72D297353CC}">
                <c16:uniqueId val="{00000003-4739-4092-8CE9-2CEF3F118AE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'Pivot Report'!$C$68:$C$70</c:f>
              <c:strCache>
                <c:ptCount val="2"/>
                <c:pt idx="0">
                  <c:v>Delay</c:v>
                </c:pt>
                <c:pt idx="1">
                  <c:v>Ontime</c:v>
                </c:pt>
              </c:strCache>
            </c:strRef>
          </c:cat>
          <c:val>
            <c:numRef>
              <c:f>'Pivot Report'!$D$68:$D$70</c:f>
              <c:numCache>
                <c:formatCode>0</c:formatCode>
                <c:ptCount val="2"/>
                <c:pt idx="0">
                  <c:v>324</c:v>
                </c:pt>
                <c:pt idx="1">
                  <c:v>195</c:v>
                </c:pt>
              </c:numCache>
            </c:numRef>
          </c:val>
          <c:extLst>
            <c:ext xmlns:c16="http://schemas.microsoft.com/office/drawing/2014/chart" uri="{C3380CC4-5D6E-409C-BE32-E72D297353CC}">
              <c16:uniqueId val="{00000007-1EAF-4C18-9394-F8B7974857F0}"/>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11834205897733548"/>
          <c:y val="3.5301837270341209E-3"/>
          <c:w val="0.74897009872624598"/>
          <c:h val="0.2760757297236718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[Hosptial ER Sheet.xlsx]Pivot Report!PivotTable9</c:name>
    <c:fmtId val="12"/>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spPr>
          <a:solidFill>
            <a:schemeClr val="accent1"/>
          </a:solidFill>
          <a:ln>
            <a:noFill/>
          </a:ln>
          <a:effectLst>
            <a:outerShdw sx="1000" sy="1000" algn="ctr" rotWithShape="0">
              <a:prstClr val="black"/>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5"/>
        <c:spPr>
          <a:solidFill>
            <a:schemeClr val="accent1"/>
          </a:solidFill>
          <a:ln>
            <a:noFill/>
          </a:ln>
          <a:effectLst>
            <a:outerShdw sx="1000" sy="1000" algn="ctr" rotWithShape="0">
              <a:prstClr val="black"/>
            </a:outerShdw>
          </a:effectLst>
        </c:spPr>
      </c:pivotFmt>
      <c:pivotFmt>
        <c:idx val="6"/>
        <c:spPr>
          <a:solidFill>
            <a:schemeClr val="accent1"/>
          </a:solidFill>
          <a:ln>
            <a:noFill/>
          </a:ln>
          <a:effectLst>
            <a:outerShdw sx="1000" sy="1000" algn="ctr" rotWithShape="0">
              <a:prstClr val="black"/>
            </a:outerShdw>
          </a:effectLst>
        </c:spPr>
      </c:pivotFmt>
    </c:pivotFmts>
    <c:plotArea>
      <c:layout>
        <c:manualLayout>
          <c:layoutTarget val="inner"/>
          <c:xMode val="edge"/>
          <c:yMode val="edge"/>
          <c:x val="9.248861101848542E-2"/>
          <c:y val="0.11061557305336833"/>
          <c:w val="0.73598023384619793"/>
          <c:h val="0.86355065616797899"/>
        </c:manualLayout>
      </c:layout>
      <c:doughnutChart>
        <c:varyColors val="1"/>
        <c:ser>
          <c:idx val="0"/>
          <c:order val="0"/>
          <c:tx>
            <c:strRef>
              <c:f>'Pivot Report'!$D$78</c:f>
              <c:strCache>
                <c:ptCount val="1"/>
                <c:pt idx="0">
                  <c:v>Total</c:v>
                </c:pt>
              </c:strCache>
            </c:strRef>
          </c:tx>
          <c:spPr>
            <a:effectLst>
              <a:outerShdw sx="1000" sy="1000" algn="ctr" rotWithShape="0">
                <a:prstClr val="black"/>
              </a:outerShdw>
            </a:effectLst>
          </c:spPr>
          <c:dPt>
            <c:idx val="0"/>
            <c:bubble3D val="0"/>
            <c:spPr>
              <a:solidFill>
                <a:schemeClr val="accent1"/>
              </a:solidFill>
              <a:ln>
                <a:noFill/>
              </a:ln>
              <a:effectLst>
                <a:outerShdw sx="1000" sy="1000" algn="ctr" rotWithShape="0">
                  <a:prstClr val="black"/>
                </a:outerShdw>
              </a:effectLst>
            </c:spPr>
            <c:extLst>
              <c:ext xmlns:c16="http://schemas.microsoft.com/office/drawing/2014/chart" uri="{C3380CC4-5D6E-409C-BE32-E72D297353CC}">
                <c16:uniqueId val="{00000001-5BFF-43F3-A938-96002B753A55}"/>
              </c:ext>
            </c:extLst>
          </c:dPt>
          <c:dPt>
            <c:idx val="1"/>
            <c:bubble3D val="0"/>
            <c:spPr>
              <a:solidFill>
                <a:schemeClr val="accent2"/>
              </a:solidFill>
              <a:ln>
                <a:noFill/>
              </a:ln>
              <a:effectLst>
                <a:outerShdw sx="1000" sy="1000" algn="ctr" rotWithShape="0">
                  <a:prstClr val="black"/>
                </a:outerShdw>
              </a:effectLst>
            </c:spPr>
            <c:extLst>
              <c:ext xmlns:c16="http://schemas.microsoft.com/office/drawing/2014/chart" uri="{C3380CC4-5D6E-409C-BE32-E72D297353CC}">
                <c16:uniqueId val="{00000003-5BFF-43F3-A938-96002B753A55}"/>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'Pivot Report'!$C$79:$C$81</c:f>
              <c:strCache>
                <c:ptCount val="2"/>
                <c:pt idx="0">
                  <c:v>Female</c:v>
                </c:pt>
                <c:pt idx="1">
                  <c:v>Male</c:v>
                </c:pt>
              </c:strCache>
            </c:strRef>
          </c:cat>
          <c:val>
            <c:numRef>
              <c:f>'Pivot Report'!$D$79:$D$81</c:f>
              <c:numCache>
                <c:formatCode>0.00</c:formatCode>
                <c:ptCount val="2"/>
                <c:pt idx="0">
                  <c:v>254</c:v>
                </c:pt>
                <c:pt idx="1">
                  <c:v>265</c:v>
                </c:pt>
              </c:numCache>
            </c:numRef>
          </c:val>
          <c:extLst>
            <c:ext xmlns:c16="http://schemas.microsoft.com/office/drawing/2014/chart" uri="{C3380CC4-5D6E-409C-BE32-E72D297353CC}">
              <c16:uniqueId val="{00000007-46E6-47EE-87FC-43467D714B3B}"/>
            </c:ext>
          </c:extLst>
        </c:ser>
        <c:dLbls>
          <c:showLegendKey val="0"/>
          <c:showVal val="0"/>
          <c:showCatName val="0"/>
          <c:showSerName val="0"/>
          <c:showPercent val="1"/>
          <c:showBubbleSize val="0"/>
          <c:showLeaderLines val="1"/>
        </c:dLbls>
        <c:firstSliceAng val="0"/>
        <c:holeSize val="43"/>
      </c:doughnutChart>
      <c:spPr>
        <a:noFill/>
        <a:ln>
          <a:noFill/>
        </a:ln>
        <a:effectLst>
          <a:outerShdw blurRad="50800" dist="50800" dir="5400000" algn="ctr" rotWithShape="0">
            <a:schemeClr val="bg2"/>
          </a:outerShdw>
        </a:effectLst>
      </c:spPr>
    </c:plotArea>
    <c:legend>
      <c:legendPos val="r"/>
      <c:layout>
        <c:manualLayout>
          <c:xMode val="edge"/>
          <c:yMode val="edge"/>
          <c:x val="9.9809055232011917E-2"/>
          <c:y val="1.3454964470904555E-2"/>
          <c:w val="0.75436783919837791"/>
          <c:h val="0.2500017497812773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a:outerShdw dist="50800" sx="1000" sy="1000" algn="ctr" rotWithShape="0">
        <a:srgbClr val="000000"/>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[Hosptial ER Sheet.xlsx]Pivot Report!PivotTable10</c:name>
    <c:fmtId val="17"/>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37057310970385682"/>
          <c:y val="6.2827225130890049E-2"/>
          <c:w val="0.58133708560217856"/>
          <c:h val="0.77578870703989222"/>
        </c:manualLayout>
      </c:layout>
      <c:barChart>
        <c:barDir val="bar"/>
        <c:grouping val="clustered"/>
        <c:varyColors val="0"/>
        <c:ser>
          <c:idx val="0"/>
          <c:order val="0"/>
          <c:tx>
            <c:strRef>
              <c:f>'Pivot Report'!$D$86</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Report'!$C$87:$C$95</c:f>
              <c:strCache>
                <c:ptCount val="8"/>
                <c:pt idx="0">
                  <c:v>None</c:v>
                </c:pt>
                <c:pt idx="1">
                  <c:v>General Practice</c:v>
                </c:pt>
                <c:pt idx="2">
                  <c:v>Orthopedics</c:v>
                </c:pt>
                <c:pt idx="3">
                  <c:v>Neurology</c:v>
                </c:pt>
                <c:pt idx="4">
                  <c:v>Physiotherapy</c:v>
                </c:pt>
                <c:pt idx="5">
                  <c:v>Cardiology</c:v>
                </c:pt>
                <c:pt idx="6">
                  <c:v>Gastroenterology</c:v>
                </c:pt>
                <c:pt idx="7">
                  <c:v>Renal</c:v>
                </c:pt>
              </c:strCache>
            </c:strRef>
          </c:cat>
          <c:val>
            <c:numRef>
              <c:f>'Pivot Report'!$D$87:$D$95</c:f>
              <c:numCache>
                <c:formatCode>0</c:formatCode>
                <c:ptCount val="8"/>
                <c:pt idx="0">
                  <c:v>313</c:v>
                </c:pt>
                <c:pt idx="1">
                  <c:v>102</c:v>
                </c:pt>
                <c:pt idx="2">
                  <c:v>51</c:v>
                </c:pt>
                <c:pt idx="3">
                  <c:v>16</c:v>
                </c:pt>
                <c:pt idx="4">
                  <c:v>15</c:v>
                </c:pt>
                <c:pt idx="5">
                  <c:v>11</c:v>
                </c:pt>
                <c:pt idx="6">
                  <c:v>8</c:v>
                </c:pt>
                <c:pt idx="7">
                  <c:v>3</c:v>
                </c:pt>
              </c:numCache>
            </c:numRef>
          </c:val>
          <c:extLst>
            <c:ext xmlns:c16="http://schemas.microsoft.com/office/drawing/2014/chart" uri="{C3380CC4-5D6E-409C-BE32-E72D297353CC}">
              <c16:uniqueId val="{00000003-47DB-44C2-9FD1-52E741500EC1}"/>
            </c:ext>
          </c:extLst>
        </c:ser>
        <c:dLbls>
          <c:showLegendKey val="0"/>
          <c:showVal val="0"/>
          <c:showCatName val="0"/>
          <c:showSerName val="0"/>
          <c:showPercent val="0"/>
          <c:showBubbleSize val="0"/>
        </c:dLbls>
        <c:gapWidth val="111"/>
        <c:axId val="1280885768"/>
        <c:axId val="1280886488"/>
      </c:barChart>
      <c:catAx>
        <c:axId val="128088576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280886488"/>
        <c:crosses val="autoZero"/>
        <c:auto val="1"/>
        <c:lblAlgn val="ctr"/>
        <c:lblOffset val="100"/>
        <c:noMultiLvlLbl val="0"/>
      </c:catAx>
      <c:valAx>
        <c:axId val="1280886488"/>
        <c:scaling>
          <c:orientation val="minMax"/>
        </c:scaling>
        <c:delete val="1"/>
        <c:axPos val="b"/>
        <c:numFmt formatCode="0" sourceLinked="1"/>
        <c:majorTickMark val="none"/>
        <c:minorTickMark val="none"/>
        <c:tickLblPos val="nextTo"/>
        <c:crossAx val="128088576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[Hosptial ER Sheet.xlsx]Pivot Report!PivotTable6</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none" anchor="ctr" anchorCtr="1"/>
            <a:lstStyle/>
            <a:p>
              <a:pPr>
                <a:defRPr sz="8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showDataLabelsRange val="1"/>
            </c:ext>
          </c:extLst>
        </c:dLbl>
      </c:pivotFmt>
      <c:pivotFmt>
        <c:idx val="1"/>
        <c:spPr>
          <a:solidFill>
            <a:schemeClr val="accent2"/>
          </a:solidFill>
          <a:ln>
            <a:noFill/>
          </a:ln>
          <a:effectLst/>
        </c:spPr>
        <c:marker>
          <c:symbol val="none"/>
        </c:marker>
        <c:dLbl>
          <c:idx val="0"/>
          <c:delete val="1"/>
          <c:extLst>
            <c:ext xmlns:c15="http://schemas.microsoft.com/office/drawing/2012/chart" uri="{CE6537A1-D6FC-4f65-9D91-7224C49458BB}"/>
          </c:extLst>
        </c:dLbl>
      </c:pivotFmt>
      <c:pivotFmt>
        <c:idx val="2"/>
      </c:pivotFmt>
      <c:pivotFmt>
        <c:idx val="3"/>
      </c:pivotFmt>
    </c:pivotFmts>
    <c:plotArea>
      <c:layout>
        <c:manualLayout>
          <c:layoutTarget val="inner"/>
          <c:xMode val="edge"/>
          <c:yMode val="edge"/>
          <c:x val="0.47586298124217724"/>
          <c:y val="0.15641373399753603"/>
          <c:w val="0.43753583686654551"/>
          <c:h val="0.84204505686789155"/>
        </c:manualLayout>
      </c:layout>
      <c:barChart>
        <c:barDir val="bar"/>
        <c:grouping val="clustered"/>
        <c:varyColors val="0"/>
        <c:ser>
          <c:idx val="0"/>
          <c:order val="0"/>
          <c:tx>
            <c:strRef>
              <c:f>'Pivot Report'!$D$38</c:f>
              <c:strCache>
                <c:ptCount val="1"/>
                <c:pt idx="0">
                  <c:v>Count of Patient Admission Flag</c:v>
                </c:pt>
              </c:strCache>
            </c:strRef>
          </c:tx>
          <c:spPr>
            <a:solidFill>
              <a:schemeClr val="accent1"/>
            </a:solidFill>
            <a:ln>
              <a:noFill/>
            </a:ln>
            <a:effectLst/>
          </c:spPr>
          <c:invertIfNegative val="0"/>
          <c:dLbls>
            <c:spPr>
              <a:noFill/>
              <a:ln>
                <a:noFill/>
              </a:ln>
              <a:effectLst/>
            </c:spPr>
            <c:txPr>
              <a:bodyPr rot="0" spcFirstLastPara="1" vertOverflow="ellipsis" vert="horz" wrap="none" anchor="ctr" anchorCtr="1"/>
              <a:lstStyle/>
              <a:p>
                <a:pPr>
                  <a:defRPr sz="8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DataLabelsRange val="1"/>
                <c15:showLeaderLines val="1"/>
              </c:ext>
            </c:extLst>
          </c:dLbls>
          <c:cat>
            <c:strRef>
              <c:f>'Pivot Report'!$C$39:$C$41</c:f>
              <c:strCache>
                <c:ptCount val="2"/>
                <c:pt idx="0">
                  <c:v>Admitted</c:v>
                </c:pt>
                <c:pt idx="1">
                  <c:v>Not Admitted</c:v>
                </c:pt>
              </c:strCache>
            </c:strRef>
          </c:cat>
          <c:val>
            <c:numRef>
              <c:f>'Pivot Report'!$D$39:$D$41</c:f>
              <c:numCache>
                <c:formatCode>0</c:formatCode>
                <c:ptCount val="2"/>
                <c:pt idx="0">
                  <c:v>266</c:v>
                </c:pt>
                <c:pt idx="1">
                  <c:v>253</c:v>
                </c:pt>
              </c:numCache>
            </c:numRef>
          </c:val>
          <c:extLst>
            <c:ext xmlns:c16="http://schemas.microsoft.com/office/drawing/2014/chart" uri="{C3380CC4-5D6E-409C-BE32-E72D297353CC}">
              <c16:uniqueId val="{00000005-D0D4-4A25-93B6-3B4EF49E9F33}"/>
            </c:ext>
          </c:extLst>
        </c:ser>
        <c:ser>
          <c:idx val="1"/>
          <c:order val="1"/>
          <c:tx>
            <c:strRef>
              <c:f>'Pivot Report'!$E$38</c:f>
              <c:strCache>
                <c:ptCount val="1"/>
                <c:pt idx="0">
                  <c:v>Count of Patient Admission Flag2</c:v>
                </c:pt>
              </c:strCache>
            </c:strRef>
          </c:tx>
          <c:spPr>
            <a:solidFill>
              <a:schemeClr val="accent2"/>
            </a:solidFill>
            <a:ln>
              <a:noFill/>
            </a:ln>
            <a:effectLst/>
          </c:spPr>
          <c:invertIfNegative val="0"/>
          <c:cat>
            <c:strRef>
              <c:f>'Pivot Report'!$C$39:$C$41</c:f>
              <c:strCache>
                <c:ptCount val="2"/>
                <c:pt idx="0">
                  <c:v>Admitted</c:v>
                </c:pt>
                <c:pt idx="1">
                  <c:v>Not Admitted</c:v>
                </c:pt>
              </c:strCache>
            </c:strRef>
          </c:cat>
          <c:val>
            <c:numRef>
              <c:f>'Pivot Report'!$E$39:$E$41</c:f>
              <c:numCache>
                <c:formatCode>0.00%</c:formatCode>
                <c:ptCount val="2"/>
                <c:pt idx="0">
                  <c:v>0.51252408477842004</c:v>
                </c:pt>
                <c:pt idx="1">
                  <c:v>0.48747591522157996</c:v>
                </c:pt>
              </c:numCache>
            </c:numRef>
          </c:val>
          <c:extLst>
            <c:ext xmlns:c16="http://schemas.microsoft.com/office/drawing/2014/chart" uri="{C3380CC4-5D6E-409C-BE32-E72D297353CC}">
              <c16:uniqueId val="{00000006-D0D4-4A25-93B6-3B4EF49E9F33}"/>
            </c:ext>
          </c:extLst>
        </c:ser>
        <c:dLbls>
          <c:showLegendKey val="0"/>
          <c:showVal val="0"/>
          <c:showCatName val="0"/>
          <c:showSerName val="0"/>
          <c:showPercent val="0"/>
          <c:showBubbleSize val="0"/>
        </c:dLbls>
        <c:gapWidth val="70"/>
        <c:axId val="1222889312"/>
        <c:axId val="1222890752"/>
      </c:barChart>
      <c:catAx>
        <c:axId val="1222889312"/>
        <c:scaling>
          <c:orientation val="minMax"/>
        </c:scaling>
        <c:delete val="1"/>
        <c:axPos val="l"/>
        <c:numFmt formatCode="General" sourceLinked="1"/>
        <c:majorTickMark val="none"/>
        <c:minorTickMark val="none"/>
        <c:tickLblPos val="nextTo"/>
        <c:crossAx val="1222890752"/>
        <c:crosses val="autoZero"/>
        <c:auto val="1"/>
        <c:lblAlgn val="ctr"/>
        <c:lblOffset val="100"/>
        <c:noMultiLvlLbl val="0"/>
      </c:catAx>
      <c:valAx>
        <c:axId val="1222890752"/>
        <c:scaling>
          <c:orientation val="minMax"/>
        </c:scaling>
        <c:delete val="1"/>
        <c:axPos val="b"/>
        <c:numFmt formatCode="0" sourceLinked="1"/>
        <c:majorTickMark val="none"/>
        <c:minorTickMark val="none"/>
        <c:tickLblPos val="nextTo"/>
        <c:crossAx val="1222889312"/>
        <c:crosses val="autoZero"/>
        <c:crossBetween val="between"/>
      </c:valAx>
      <c:dTable>
        <c:showHorzBorder val="1"/>
        <c:showVertBorder val="1"/>
        <c:showOutline val="1"/>
        <c:showKeys val="1"/>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sz="8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[Hosptial ER Sheet.xlsx]Pivot Report!PivotTable1</c:name>
    <c:fmtId val="13"/>
  </c:pivotSource>
  <c:chart>
    <c:title>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marker>
          <c:spPr>
            <a:solidFill>
              <a:schemeClr val="accent1"/>
            </a:solidFill>
            <a:ln w="22225">
              <a:solidFill>
                <a:schemeClr val="lt1"/>
              </a:solidFill>
              <a:round/>
            </a:ln>
            <a:effectLst/>
          </c:spPr>
        </c:marker>
        <c:dLbl>
          <c:idx val="0"/>
          <c:showLegendKey val="0"/>
          <c:showVal val="1"/>
          <c:showCatName val="0"/>
          <c:showSerName val="0"/>
          <c:showPercent val="0"/>
          <c:showBubbleSize val="0"/>
          <c:extLst>
            <c:ext xmlns:c15="http://schemas.microsoft.com/office/drawing/2012/chart" uri="{CE6537A1-D6FC-4f65-9D91-7224C49458BB}"/>
          </c:extLst>
        </c:dLbl>
      </c:pivotFmt>
      <c:pivotFmt>
        <c:idx val="6"/>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4.346100999670123E-2"/>
          <c:y val="0.13203878440814734"/>
          <c:w val="0.90445168295331158"/>
          <c:h val="0.5452010590555042"/>
        </c:manualLayout>
      </c:layout>
      <c:areaChart>
        <c:grouping val="standard"/>
        <c:varyColors val="0"/>
        <c:ser>
          <c:idx val="0"/>
          <c:order val="0"/>
          <c:tx>
            <c:strRef>
              <c:f>'Pivot Report'!$J$5</c:f>
              <c:strCache>
                <c:ptCount val="1"/>
                <c:pt idx="0">
                  <c:v>Total</c:v>
                </c:pt>
              </c:strCache>
            </c:strRef>
          </c:tx>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strRef>
              <c:f>'Pivot Report'!$I$6:$I$36</c:f>
              <c:strCache>
                <c:ptCount val="31"/>
                <c:pt idx="0">
                  <c:v>01-05-2024</c:v>
                </c:pt>
                <c:pt idx="1">
                  <c:v>02-05-2024</c:v>
                </c:pt>
                <c:pt idx="2">
                  <c:v>03-05-2024</c:v>
                </c:pt>
                <c:pt idx="3">
                  <c:v>04-05-2024</c:v>
                </c:pt>
                <c:pt idx="4">
                  <c:v>05-05-2024</c:v>
                </c:pt>
                <c:pt idx="5">
                  <c:v>06-05-2024</c:v>
                </c:pt>
                <c:pt idx="6">
                  <c:v>07-05-2024</c:v>
                </c:pt>
                <c:pt idx="7">
                  <c:v>08-05-2024</c:v>
                </c:pt>
                <c:pt idx="8">
                  <c:v>09-05-2024</c:v>
                </c:pt>
                <c:pt idx="9">
                  <c:v>10-05-2024</c:v>
                </c:pt>
                <c:pt idx="10">
                  <c:v>11-05-2024</c:v>
                </c:pt>
                <c:pt idx="11">
                  <c:v>12-05-2024</c:v>
                </c:pt>
                <c:pt idx="12">
                  <c:v>13-05-2024</c:v>
                </c:pt>
                <c:pt idx="13">
                  <c:v>14-05-2024</c:v>
                </c:pt>
                <c:pt idx="14">
                  <c:v>15-05-2024</c:v>
                </c:pt>
                <c:pt idx="15">
                  <c:v>16-05-2024</c:v>
                </c:pt>
                <c:pt idx="16">
                  <c:v>17-05-2024</c:v>
                </c:pt>
                <c:pt idx="17">
                  <c:v>18-05-2024</c:v>
                </c:pt>
                <c:pt idx="18">
                  <c:v>19-05-2024</c:v>
                </c:pt>
                <c:pt idx="19">
                  <c:v>20-05-2024</c:v>
                </c:pt>
                <c:pt idx="20">
                  <c:v>21-05-2024</c:v>
                </c:pt>
                <c:pt idx="21">
                  <c:v>22-05-2024</c:v>
                </c:pt>
                <c:pt idx="22">
                  <c:v>23-05-2024</c:v>
                </c:pt>
                <c:pt idx="23">
                  <c:v>24-05-2024</c:v>
                </c:pt>
                <c:pt idx="24">
                  <c:v>25-05-2024</c:v>
                </c:pt>
                <c:pt idx="25">
                  <c:v>26-05-2024</c:v>
                </c:pt>
                <c:pt idx="26">
                  <c:v>27-05-2024</c:v>
                </c:pt>
                <c:pt idx="27">
                  <c:v>28-05-2024</c:v>
                </c:pt>
                <c:pt idx="28">
                  <c:v>29-05-2024</c:v>
                </c:pt>
                <c:pt idx="29">
                  <c:v>30-05-2024</c:v>
                </c:pt>
                <c:pt idx="30">
                  <c:v>31-05-2024</c:v>
                </c:pt>
              </c:strCache>
            </c:strRef>
          </c:cat>
          <c:val>
            <c:numRef>
              <c:f>'Pivot Report'!$J$6:$J$36</c:f>
              <c:numCache>
                <c:formatCode>0.00</c:formatCode>
                <c:ptCount val="31"/>
                <c:pt idx="0">
                  <c:v>35.642857142857146</c:v>
                </c:pt>
                <c:pt idx="1">
                  <c:v>27</c:v>
                </c:pt>
                <c:pt idx="2">
                  <c:v>36.047619047619051</c:v>
                </c:pt>
                <c:pt idx="3">
                  <c:v>38.866666666666667</c:v>
                </c:pt>
                <c:pt idx="4">
                  <c:v>35.909090909090907</c:v>
                </c:pt>
                <c:pt idx="5">
                  <c:v>38.470588235294116</c:v>
                </c:pt>
                <c:pt idx="6">
                  <c:v>36.733333333333334</c:v>
                </c:pt>
                <c:pt idx="7">
                  <c:v>34.588235294117645</c:v>
                </c:pt>
                <c:pt idx="8">
                  <c:v>37.53846153846154</c:v>
                </c:pt>
                <c:pt idx="9">
                  <c:v>31.708333333333332</c:v>
                </c:pt>
                <c:pt idx="10">
                  <c:v>28.923076923076923</c:v>
                </c:pt>
                <c:pt idx="11">
                  <c:v>42.071428571428569</c:v>
                </c:pt>
                <c:pt idx="12">
                  <c:v>35.833333333333336</c:v>
                </c:pt>
                <c:pt idx="13">
                  <c:v>28.727272727272727</c:v>
                </c:pt>
                <c:pt idx="14">
                  <c:v>35.75</c:v>
                </c:pt>
                <c:pt idx="15">
                  <c:v>34.75</c:v>
                </c:pt>
                <c:pt idx="16">
                  <c:v>37.666666666666664</c:v>
                </c:pt>
                <c:pt idx="17">
                  <c:v>40.421052631578945</c:v>
                </c:pt>
                <c:pt idx="18">
                  <c:v>33.75</c:v>
                </c:pt>
                <c:pt idx="19">
                  <c:v>32.764705882352942</c:v>
                </c:pt>
                <c:pt idx="20">
                  <c:v>37.357142857142854</c:v>
                </c:pt>
                <c:pt idx="21">
                  <c:v>37.227272727272727</c:v>
                </c:pt>
                <c:pt idx="22">
                  <c:v>36.700000000000003</c:v>
                </c:pt>
                <c:pt idx="23">
                  <c:v>43.058823529411768</c:v>
                </c:pt>
                <c:pt idx="24">
                  <c:v>39.777777777777779</c:v>
                </c:pt>
                <c:pt idx="25">
                  <c:v>40.692307692307693</c:v>
                </c:pt>
                <c:pt idx="26">
                  <c:v>34.46153846153846</c:v>
                </c:pt>
                <c:pt idx="27">
                  <c:v>30.307692307692307</c:v>
                </c:pt>
                <c:pt idx="28">
                  <c:v>38.5</c:v>
                </c:pt>
                <c:pt idx="29">
                  <c:v>35.333333333333336</c:v>
                </c:pt>
                <c:pt idx="30">
                  <c:v>32.421052631578945</c:v>
                </c:pt>
              </c:numCache>
            </c:numRef>
          </c:val>
          <c:extLst>
            <c:ext xmlns:c16="http://schemas.microsoft.com/office/drawing/2014/chart" uri="{C3380CC4-5D6E-409C-BE32-E72D297353CC}">
              <c16:uniqueId val="{00000002-3BBE-4607-A917-1E7E5BAA2C33}"/>
            </c:ext>
          </c:extLst>
        </c:ser>
        <c:dLbls>
          <c:showLegendKey val="0"/>
          <c:showVal val="1"/>
          <c:showCatName val="0"/>
          <c:showSerName val="0"/>
          <c:showPercent val="0"/>
          <c:showBubbleSize val="0"/>
        </c:dLbls>
        <c:dropLines>
          <c:spPr>
            <a:ln w="9525" cap="flat" cmpd="sng" algn="ctr">
              <a:gradFill>
                <a:gsLst>
                  <a:gs pos="0">
                    <a:schemeClr val="lt1"/>
                  </a:gs>
                  <a:gs pos="50000">
                    <a:schemeClr val="lt1">
                      <a:alpha val="0"/>
                    </a:schemeClr>
                  </a:gs>
                </a:gsLst>
                <a:lin ang="5400000" scaled="0"/>
              </a:gradFill>
              <a:round/>
            </a:ln>
            <a:effectLst/>
          </c:spPr>
        </c:dropLines>
        <c:axId val="1187082896"/>
        <c:axId val="1187083256"/>
      </c:areaChart>
      <c:catAx>
        <c:axId val="1187082896"/>
        <c:scaling>
          <c:orientation val="minMax"/>
        </c:scaling>
        <c:delete val="0"/>
        <c:axPos val="b"/>
        <c:numFmt formatCode="General" sourceLinked="1"/>
        <c:majorTickMark val="none"/>
        <c:minorTickMark val="none"/>
        <c:tickLblPos val="nextTo"/>
        <c:spPr>
          <a:noFill/>
          <a:ln w="9525" cap="flat" cmpd="sng" algn="ctr">
            <a:solidFill>
              <a:schemeClr val="accent1">
                <a:lumMod val="40000"/>
                <a:lumOff val="60000"/>
                <a:alpha val="25000"/>
              </a:schemeClr>
            </a:solidFill>
            <a:round/>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1187083256"/>
        <c:crosses val="autoZero"/>
        <c:auto val="1"/>
        <c:lblAlgn val="ctr"/>
        <c:lblOffset val="100"/>
        <c:tickLblSkip val="1"/>
        <c:noMultiLvlLbl val="0"/>
      </c:catAx>
      <c:valAx>
        <c:axId val="1187083256"/>
        <c:scaling>
          <c:orientation val="minMax"/>
        </c:scaling>
        <c:delete val="1"/>
        <c:axPos val="l"/>
        <c:numFmt formatCode="0.00" sourceLinked="1"/>
        <c:majorTickMark val="out"/>
        <c:minorTickMark val="none"/>
        <c:tickLblPos val="nextTo"/>
        <c:crossAx val="1187082896"/>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accent1"/>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[Hosptial ER Sheet.xlsx]Pivot Report!PivotTable1</c:name>
    <c:fmtId val="21"/>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4.7789108328672031E-3"/>
          <c:y val="0"/>
          <c:w val="0.99522102568077808"/>
          <c:h val="1"/>
        </c:manualLayout>
      </c:layout>
      <c:areaChart>
        <c:grouping val="standard"/>
        <c:varyColors val="0"/>
        <c:ser>
          <c:idx val="0"/>
          <c:order val="0"/>
          <c:tx>
            <c:strRef>
              <c:f>'Pivot Report'!$J$5</c:f>
              <c:strCache>
                <c:ptCount val="1"/>
                <c:pt idx="0">
                  <c:v>Total</c:v>
                </c:pt>
              </c:strCache>
            </c:strRef>
          </c:tx>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strRef>
              <c:f>'Pivot Report'!$I$6:$I$36</c:f>
              <c:strCache>
                <c:ptCount val="31"/>
                <c:pt idx="0">
                  <c:v>01-05-2024</c:v>
                </c:pt>
                <c:pt idx="1">
                  <c:v>02-05-2024</c:v>
                </c:pt>
                <c:pt idx="2">
                  <c:v>03-05-2024</c:v>
                </c:pt>
                <c:pt idx="3">
                  <c:v>04-05-2024</c:v>
                </c:pt>
                <c:pt idx="4">
                  <c:v>05-05-2024</c:v>
                </c:pt>
                <c:pt idx="5">
                  <c:v>06-05-2024</c:v>
                </c:pt>
                <c:pt idx="6">
                  <c:v>07-05-2024</c:v>
                </c:pt>
                <c:pt idx="7">
                  <c:v>08-05-2024</c:v>
                </c:pt>
                <c:pt idx="8">
                  <c:v>09-05-2024</c:v>
                </c:pt>
                <c:pt idx="9">
                  <c:v>10-05-2024</c:v>
                </c:pt>
                <c:pt idx="10">
                  <c:v>11-05-2024</c:v>
                </c:pt>
                <c:pt idx="11">
                  <c:v>12-05-2024</c:v>
                </c:pt>
                <c:pt idx="12">
                  <c:v>13-05-2024</c:v>
                </c:pt>
                <c:pt idx="13">
                  <c:v>14-05-2024</c:v>
                </c:pt>
                <c:pt idx="14">
                  <c:v>15-05-2024</c:v>
                </c:pt>
                <c:pt idx="15">
                  <c:v>16-05-2024</c:v>
                </c:pt>
                <c:pt idx="16">
                  <c:v>17-05-2024</c:v>
                </c:pt>
                <c:pt idx="17">
                  <c:v>18-05-2024</c:v>
                </c:pt>
                <c:pt idx="18">
                  <c:v>19-05-2024</c:v>
                </c:pt>
                <c:pt idx="19">
                  <c:v>20-05-2024</c:v>
                </c:pt>
                <c:pt idx="20">
                  <c:v>21-05-2024</c:v>
                </c:pt>
                <c:pt idx="21">
                  <c:v>22-05-2024</c:v>
                </c:pt>
                <c:pt idx="22">
                  <c:v>23-05-2024</c:v>
                </c:pt>
                <c:pt idx="23">
                  <c:v>24-05-2024</c:v>
                </c:pt>
                <c:pt idx="24">
                  <c:v>25-05-2024</c:v>
                </c:pt>
                <c:pt idx="25">
                  <c:v>26-05-2024</c:v>
                </c:pt>
                <c:pt idx="26">
                  <c:v>27-05-2024</c:v>
                </c:pt>
                <c:pt idx="27">
                  <c:v>28-05-2024</c:v>
                </c:pt>
                <c:pt idx="28">
                  <c:v>29-05-2024</c:v>
                </c:pt>
                <c:pt idx="29">
                  <c:v>30-05-2024</c:v>
                </c:pt>
                <c:pt idx="30">
                  <c:v>31-05-2024</c:v>
                </c:pt>
              </c:strCache>
            </c:strRef>
          </c:cat>
          <c:val>
            <c:numRef>
              <c:f>'Pivot Report'!$J$6:$J$36</c:f>
              <c:numCache>
                <c:formatCode>0.00</c:formatCode>
                <c:ptCount val="31"/>
                <c:pt idx="0">
                  <c:v>35.642857142857146</c:v>
                </c:pt>
                <c:pt idx="1">
                  <c:v>27</c:v>
                </c:pt>
                <c:pt idx="2">
                  <c:v>36.047619047619051</c:v>
                </c:pt>
                <c:pt idx="3">
                  <c:v>38.866666666666667</c:v>
                </c:pt>
                <c:pt idx="4">
                  <c:v>35.909090909090907</c:v>
                </c:pt>
                <c:pt idx="5">
                  <c:v>38.470588235294116</c:v>
                </c:pt>
                <c:pt idx="6">
                  <c:v>36.733333333333334</c:v>
                </c:pt>
                <c:pt idx="7">
                  <c:v>34.588235294117645</c:v>
                </c:pt>
                <c:pt idx="8">
                  <c:v>37.53846153846154</c:v>
                </c:pt>
                <c:pt idx="9">
                  <c:v>31.708333333333332</c:v>
                </c:pt>
                <c:pt idx="10">
                  <c:v>28.923076923076923</c:v>
                </c:pt>
                <c:pt idx="11">
                  <c:v>42.071428571428569</c:v>
                </c:pt>
                <c:pt idx="12">
                  <c:v>35.833333333333336</c:v>
                </c:pt>
                <c:pt idx="13">
                  <c:v>28.727272727272727</c:v>
                </c:pt>
                <c:pt idx="14">
                  <c:v>35.75</c:v>
                </c:pt>
                <c:pt idx="15">
                  <c:v>34.75</c:v>
                </c:pt>
                <c:pt idx="16">
                  <c:v>37.666666666666664</c:v>
                </c:pt>
                <c:pt idx="17">
                  <c:v>40.421052631578945</c:v>
                </c:pt>
                <c:pt idx="18">
                  <c:v>33.75</c:v>
                </c:pt>
                <c:pt idx="19">
                  <c:v>32.764705882352942</c:v>
                </c:pt>
                <c:pt idx="20">
                  <c:v>37.357142857142854</c:v>
                </c:pt>
                <c:pt idx="21">
                  <c:v>37.227272727272727</c:v>
                </c:pt>
                <c:pt idx="22">
                  <c:v>36.700000000000003</c:v>
                </c:pt>
                <c:pt idx="23">
                  <c:v>43.058823529411768</c:v>
                </c:pt>
                <c:pt idx="24">
                  <c:v>39.777777777777779</c:v>
                </c:pt>
                <c:pt idx="25">
                  <c:v>40.692307692307693</c:v>
                </c:pt>
                <c:pt idx="26">
                  <c:v>34.46153846153846</c:v>
                </c:pt>
                <c:pt idx="27">
                  <c:v>30.307692307692307</c:v>
                </c:pt>
                <c:pt idx="28">
                  <c:v>38.5</c:v>
                </c:pt>
                <c:pt idx="29">
                  <c:v>35.333333333333336</c:v>
                </c:pt>
                <c:pt idx="30">
                  <c:v>32.421052631578945</c:v>
                </c:pt>
              </c:numCache>
            </c:numRef>
          </c:val>
          <c:extLst>
            <c:ext xmlns:c16="http://schemas.microsoft.com/office/drawing/2014/chart" uri="{C3380CC4-5D6E-409C-BE32-E72D297353CC}">
              <c16:uniqueId val="{00000002-F818-41FE-8858-A54E83151397}"/>
            </c:ext>
          </c:extLst>
        </c:ser>
        <c:dLbls>
          <c:showLegendKey val="0"/>
          <c:showVal val="1"/>
          <c:showCatName val="0"/>
          <c:showSerName val="0"/>
          <c:showPercent val="0"/>
          <c:showBubbleSize val="0"/>
        </c:dLbls>
        <c:dropLines>
          <c:spPr>
            <a:ln w="9525" cap="flat" cmpd="sng" algn="ctr">
              <a:gradFill>
                <a:gsLst>
                  <a:gs pos="0">
                    <a:schemeClr val="lt1"/>
                  </a:gs>
                  <a:gs pos="50000">
                    <a:schemeClr val="lt1">
                      <a:alpha val="0"/>
                    </a:schemeClr>
                  </a:gs>
                </a:gsLst>
                <a:lin ang="5400000" scaled="0"/>
              </a:gradFill>
              <a:round/>
            </a:ln>
            <a:effectLst/>
          </c:spPr>
        </c:dropLines>
        <c:axId val="1218406200"/>
        <c:axId val="1218409800"/>
      </c:areaChart>
      <c:catAx>
        <c:axId val="1218406200"/>
        <c:scaling>
          <c:orientation val="minMax"/>
        </c:scaling>
        <c:delete val="0"/>
        <c:axPos val="b"/>
        <c:numFmt formatCode="General" sourceLinked="1"/>
        <c:majorTickMark val="none"/>
        <c:minorTickMark val="none"/>
        <c:tickLblPos val="nextTo"/>
        <c:spPr>
          <a:noFill/>
          <a:ln w="9525" cap="flat" cmpd="sng" algn="ctr">
            <a:solidFill>
              <a:schemeClr val="accent1">
                <a:lumMod val="40000"/>
                <a:lumOff val="60000"/>
                <a:alpha val="25000"/>
              </a:schemeClr>
            </a:solidFill>
            <a:round/>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1218409800"/>
        <c:crosses val="autoZero"/>
        <c:auto val="1"/>
        <c:lblAlgn val="ctr"/>
        <c:lblOffset val="100"/>
        <c:noMultiLvlLbl val="0"/>
      </c:catAx>
      <c:valAx>
        <c:axId val="1218409800"/>
        <c:scaling>
          <c:orientation val="minMax"/>
        </c:scaling>
        <c:delete val="1"/>
        <c:axPos val="l"/>
        <c:numFmt formatCode="0.00" sourceLinked="1"/>
        <c:majorTickMark val="out"/>
        <c:minorTickMark val="none"/>
        <c:tickLblPos val="nextTo"/>
        <c:crossAx val="1218406200"/>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accent1"/>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[Hosptial ER Sheet.xlsx]Pivot Report!PivotTable2</c:name>
    <c:fmtId val="27"/>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'Pivot Report'!$N$5</c:f>
              <c:strCache>
                <c:ptCount val="1"/>
                <c:pt idx="0">
                  <c:v>Total</c:v>
                </c:pt>
              </c:strCache>
            </c:strRef>
          </c:tx>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strRef>
              <c:f>'Pivot Report'!$M$6:$M$36</c:f>
              <c:strCache>
                <c:ptCount val="31"/>
                <c:pt idx="0">
                  <c:v>01-05-2024</c:v>
                </c:pt>
                <c:pt idx="1">
                  <c:v>02-05-2024</c:v>
                </c:pt>
                <c:pt idx="2">
                  <c:v>03-05-2024</c:v>
                </c:pt>
                <c:pt idx="3">
                  <c:v>04-05-2024</c:v>
                </c:pt>
                <c:pt idx="4">
                  <c:v>05-05-2024</c:v>
                </c:pt>
                <c:pt idx="5">
                  <c:v>06-05-2024</c:v>
                </c:pt>
                <c:pt idx="6">
                  <c:v>07-05-2024</c:v>
                </c:pt>
                <c:pt idx="7">
                  <c:v>08-05-2024</c:v>
                </c:pt>
                <c:pt idx="8">
                  <c:v>09-05-2024</c:v>
                </c:pt>
                <c:pt idx="9">
                  <c:v>10-05-2024</c:v>
                </c:pt>
                <c:pt idx="10">
                  <c:v>11-05-2024</c:v>
                </c:pt>
                <c:pt idx="11">
                  <c:v>12-05-2024</c:v>
                </c:pt>
                <c:pt idx="12">
                  <c:v>13-05-2024</c:v>
                </c:pt>
                <c:pt idx="13">
                  <c:v>14-05-2024</c:v>
                </c:pt>
                <c:pt idx="14">
                  <c:v>15-05-2024</c:v>
                </c:pt>
                <c:pt idx="15">
                  <c:v>16-05-2024</c:v>
                </c:pt>
                <c:pt idx="16">
                  <c:v>17-05-2024</c:v>
                </c:pt>
                <c:pt idx="17">
                  <c:v>18-05-2024</c:v>
                </c:pt>
                <c:pt idx="18">
                  <c:v>19-05-2024</c:v>
                </c:pt>
                <c:pt idx="19">
                  <c:v>20-05-2024</c:v>
                </c:pt>
                <c:pt idx="20">
                  <c:v>21-05-2024</c:v>
                </c:pt>
                <c:pt idx="21">
                  <c:v>22-05-2024</c:v>
                </c:pt>
                <c:pt idx="22">
                  <c:v>23-05-2024</c:v>
                </c:pt>
                <c:pt idx="23">
                  <c:v>24-05-2024</c:v>
                </c:pt>
                <c:pt idx="24">
                  <c:v>25-05-2024</c:v>
                </c:pt>
                <c:pt idx="25">
                  <c:v>26-05-2024</c:v>
                </c:pt>
                <c:pt idx="26">
                  <c:v>27-05-2024</c:v>
                </c:pt>
                <c:pt idx="27">
                  <c:v>28-05-2024</c:v>
                </c:pt>
                <c:pt idx="28">
                  <c:v>29-05-2024</c:v>
                </c:pt>
                <c:pt idx="29">
                  <c:v>30-05-2024</c:v>
                </c:pt>
                <c:pt idx="30">
                  <c:v>31-05-2024</c:v>
                </c:pt>
              </c:strCache>
            </c:strRef>
          </c:cat>
          <c:val>
            <c:numRef>
              <c:f>'Pivot Report'!$N$6:$N$36</c:f>
              <c:numCache>
                <c:formatCode>0.00</c:formatCode>
                <c:ptCount val="31"/>
                <c:pt idx="0">
                  <c:v>7.4</c:v>
                </c:pt>
                <c:pt idx="1">
                  <c:v>5.6</c:v>
                </c:pt>
                <c:pt idx="2">
                  <c:v>6.7142857142857144</c:v>
                </c:pt>
                <c:pt idx="3">
                  <c:v>6</c:v>
                </c:pt>
                <c:pt idx="4">
                  <c:v>4</c:v>
                </c:pt>
                <c:pt idx="5">
                  <c:v>4.7142857142857144</c:v>
                </c:pt>
                <c:pt idx="6">
                  <c:v>1.8</c:v>
                </c:pt>
                <c:pt idx="7">
                  <c:v>4.833333333333333</c:v>
                </c:pt>
                <c:pt idx="8">
                  <c:v>4.25</c:v>
                </c:pt>
                <c:pt idx="9">
                  <c:v>4.5999999999999996</c:v>
                </c:pt>
                <c:pt idx="10">
                  <c:v>6.5</c:v>
                </c:pt>
                <c:pt idx="11">
                  <c:v>5</c:v>
                </c:pt>
                <c:pt idx="12">
                  <c:v>6</c:v>
                </c:pt>
                <c:pt idx="13">
                  <c:v>4.7142857142857144</c:v>
                </c:pt>
                <c:pt idx="14">
                  <c:v>4.2</c:v>
                </c:pt>
                <c:pt idx="15">
                  <c:v>7.2</c:v>
                </c:pt>
                <c:pt idx="16">
                  <c:v>4.333333333333333</c:v>
                </c:pt>
                <c:pt idx="17">
                  <c:v>3.7777777777777777</c:v>
                </c:pt>
                <c:pt idx="18">
                  <c:v>3.6666666666666665</c:v>
                </c:pt>
                <c:pt idx="19">
                  <c:v>4</c:v>
                </c:pt>
                <c:pt idx="20">
                  <c:v>5.833333333333333</c:v>
                </c:pt>
                <c:pt idx="21">
                  <c:v>5.666666666666667</c:v>
                </c:pt>
                <c:pt idx="22">
                  <c:v>5.5</c:v>
                </c:pt>
                <c:pt idx="23">
                  <c:v>5.5</c:v>
                </c:pt>
                <c:pt idx="24">
                  <c:v>7</c:v>
                </c:pt>
                <c:pt idx="25">
                  <c:v>7</c:v>
                </c:pt>
                <c:pt idx="26">
                  <c:v>4</c:v>
                </c:pt>
                <c:pt idx="27">
                  <c:v>4.4444444444444446</c:v>
                </c:pt>
                <c:pt idx="28">
                  <c:v>4.8571428571428568</c:v>
                </c:pt>
                <c:pt idx="29">
                  <c:v>5.5714285714285712</c:v>
                </c:pt>
                <c:pt idx="30">
                  <c:v>6</c:v>
                </c:pt>
              </c:numCache>
            </c:numRef>
          </c:val>
          <c:extLst>
            <c:ext xmlns:c16="http://schemas.microsoft.com/office/drawing/2014/chart" uri="{C3380CC4-5D6E-409C-BE32-E72D297353CC}">
              <c16:uniqueId val="{00000003-B01D-4A97-9581-B03433716B56}"/>
            </c:ext>
          </c:extLst>
        </c:ser>
        <c:dLbls>
          <c:showLegendKey val="0"/>
          <c:showVal val="1"/>
          <c:showCatName val="0"/>
          <c:showSerName val="0"/>
          <c:showPercent val="0"/>
          <c:showBubbleSize val="0"/>
        </c:dLbls>
        <c:dropLines>
          <c:spPr>
            <a:ln w="9525" cap="flat" cmpd="sng" algn="ctr">
              <a:gradFill>
                <a:gsLst>
                  <a:gs pos="0">
                    <a:schemeClr val="lt1"/>
                  </a:gs>
                  <a:gs pos="50000">
                    <a:schemeClr val="lt1">
                      <a:alpha val="0"/>
                    </a:schemeClr>
                  </a:gs>
                </a:gsLst>
                <a:lin ang="5400000" scaled="0"/>
              </a:gradFill>
              <a:round/>
            </a:ln>
            <a:effectLst/>
          </c:spPr>
        </c:dropLines>
        <c:axId val="1226410176"/>
        <c:axId val="1226411256"/>
      </c:areaChart>
      <c:catAx>
        <c:axId val="1226410176"/>
        <c:scaling>
          <c:orientation val="minMax"/>
        </c:scaling>
        <c:delete val="0"/>
        <c:axPos val="b"/>
        <c:numFmt formatCode="General" sourceLinked="1"/>
        <c:majorTickMark val="none"/>
        <c:minorTickMark val="none"/>
        <c:tickLblPos val="nextTo"/>
        <c:spPr>
          <a:noFill/>
          <a:ln w="9525" cap="flat" cmpd="sng" algn="ctr">
            <a:solidFill>
              <a:schemeClr val="accent1">
                <a:lumMod val="40000"/>
                <a:lumOff val="60000"/>
                <a:alpha val="25000"/>
              </a:schemeClr>
            </a:solidFill>
            <a:round/>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1226411256"/>
        <c:crosses val="autoZero"/>
        <c:auto val="1"/>
        <c:lblAlgn val="ctr"/>
        <c:lblOffset val="100"/>
        <c:noMultiLvlLbl val="0"/>
      </c:catAx>
      <c:valAx>
        <c:axId val="1226411256"/>
        <c:scaling>
          <c:orientation val="minMax"/>
        </c:scaling>
        <c:delete val="1"/>
        <c:axPos val="l"/>
        <c:numFmt formatCode="0.00" sourceLinked="1"/>
        <c:majorTickMark val="out"/>
        <c:minorTickMark val="none"/>
        <c:tickLblPos val="nextTo"/>
        <c:crossAx val="1226410176"/>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accent1"/>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85">
  <cs:axisTitle>
    <cs:lnRef idx="0"/>
    <cs:fillRef idx="0"/>
    <cs:effectRef idx="0"/>
    <cs:fontRef idx="minor">
      <a:schemeClr val="lt1"/>
    </cs:fontRef>
    <cs:defRPr sz="900" kern="1200"/>
  </cs:axisTitle>
  <cs:category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categoryAxis>
  <cs:chartArea>
    <cs:lnRef idx="0">
      <cs:styleClr val="0"/>
    </cs:lnRef>
    <cs:fillRef idx="0">
      <cs:styleClr val="0"/>
    </cs:fillRef>
    <cs:effectRef idx="0"/>
    <cs:fontRef idx="minor">
      <a:schemeClr val="lt1"/>
    </cs:fontRef>
    <cs:spPr>
      <a:solidFill>
        <a:schemeClr val="phClr"/>
      </a:solidFill>
      <a:ln w="9525" cap="flat" cmpd="sng" algn="ctr">
        <a:solidFill>
          <a:schemeClr val="phClr"/>
        </a:solidFill>
        <a:round/>
      </a:ln>
    </cs:spPr>
    <cs:defRPr sz="9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fontRef idx="minor">
      <a:schemeClr val="tx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
  <cs:dataPoint3D>
    <cs:lnRef idx="0">
      <cs:styleClr val="auto"/>
    </cs:lnRef>
    <cs:fillRef idx="0"/>
    <cs:effectRef idx="0"/>
    <cs:fontRef idx="minor">
      <a:schemeClr val="lt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3D>
  <cs:dataPointLine>
    <cs:lnRef idx="0">
      <cs:styleClr val="auto"/>
    </cs:lnRef>
    <cs:fillRef idx="0"/>
    <cs:effectRef idx="0">
      <cs:styleClr val="auto"/>
    </cs:effectRef>
    <cs:fontRef idx="minor">
      <a:schemeClr val="lt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lt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lt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40000"/>
            <a:lumOff val="60000"/>
            <a:alpha val="25000"/>
          </a:schemeClr>
        </a:solidFill>
      </a:ln>
    </cs:spPr>
    <cs:defRPr sz="900" kern="1200"/>
  </cs:dataTable>
  <cs:downBar>
    <cs:lnRef idx="0">
      <cs:styleClr val="0"/>
    </cs:lnRef>
    <cs:fillRef idx="0"/>
    <cs:effectRef idx="0"/>
    <cs:fontRef idx="minor">
      <a:schemeClr val="lt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lt1"/>
    </cs:fontRef>
    <cs:spPr>
      <a:ln w="9525" cap="flat" cmpd="sng" algn="ctr">
        <a:gradFill>
          <a:gsLst>
            <a:gs pos="0">
              <a:schemeClr val="lt1"/>
            </a:gs>
            <a:gs pos="50000">
              <a:schemeClr val="lt1">
                <a:alpha val="0"/>
              </a:schemeClr>
            </a:gs>
          </a:gsLst>
          <a:lin ang="5400000" scaled="0"/>
        </a:gradFill>
        <a:round/>
      </a:ln>
    </cs:spPr>
  </cs:dropLine>
  <cs:errorBar>
    <cs:lnRef idx="0">
      <cs:styleClr val="0"/>
    </cs:lnRef>
    <cs:fillRef idx="0"/>
    <cs:effectRef idx="0"/>
    <cs:fontRef idx="minor">
      <a:schemeClr val="lt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lt1"/>
    </cs:fontRef>
  </cs:floor>
  <cs:gridlineMajor>
    <cs:lnRef idx="0">
      <cs:styleClr val="0"/>
    </cs:lnRef>
    <cs:fillRef idx="0"/>
    <cs:effectRef idx="0"/>
    <cs:fontRef idx="minor">
      <a:schemeClr val="lt1"/>
    </cs:fontRef>
    <cs:spPr>
      <a:ln>
        <a:solidFill>
          <a:schemeClr val="phClr">
            <a:lumMod val="40000"/>
            <a:lumOff val="60000"/>
            <a:alpha val="25000"/>
          </a:schemeClr>
        </a:solidFill>
      </a:ln>
    </cs:spPr>
  </cs:gridlineMajor>
  <cs:gridlineMinor>
    <cs:lnRef idx="0">
      <cs:styleClr val="0"/>
    </cs:lnRef>
    <cs:fillRef idx="0"/>
    <cs:effectRef idx="0"/>
    <cs:fontRef idx="minor">
      <a:schemeClr val="lt1"/>
    </cs:fontRef>
    <cs:spPr>
      <a:ln>
        <a:solidFill>
          <a:schemeClr val="phClr">
            <a:lumMod val="40000"/>
            <a:lumOff val="60000"/>
            <a:alpha val="25000"/>
          </a:schemeClr>
        </a:solidFill>
      </a:ln>
    </cs:spPr>
  </cs:gridlineMinor>
  <cs:hiLoLine>
    <cs:lnRef idx="0">
      <cs:styleClr val="0"/>
    </cs:lnRef>
    <cs:fillRef idx="0"/>
    <cs:effectRef idx="0"/>
    <cs:fontRef idx="minor">
      <a:schemeClr val="lt1"/>
    </cs:fontRef>
    <cs:spPr>
      <a:ln w="9525">
        <a:solidFill>
          <a:schemeClr val="phClr">
            <a:lumMod val="60000"/>
            <a:lumOff val="40000"/>
          </a:schemeClr>
        </a:solidFill>
      </a:ln>
    </cs:spPr>
  </cs:hiLoLine>
  <cs:leaderLine>
    <cs:lnRef idx="0">
      <cs:styleClr val="0"/>
    </cs:lnRef>
    <cs:fillRef idx="0"/>
    <cs:effectRef idx="0"/>
    <cs:fontRef idx="minor">
      <a:schemeClr val="lt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seriesAxis>
  <cs:seriesLine>
    <cs:lnRef idx="0">
      <cs:styleClr val="0"/>
    </cs:lnRef>
    <cs:fillRef idx="0"/>
    <cs:effectRef idx="0"/>
    <cs:fontRef idx="minor">
      <a:schemeClr val="lt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lt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lt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bodyPr/>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85">
  <cs:axisTitle>
    <cs:lnRef idx="0"/>
    <cs:fillRef idx="0"/>
    <cs:effectRef idx="0"/>
    <cs:fontRef idx="minor">
      <a:schemeClr val="lt1"/>
    </cs:fontRef>
    <cs:defRPr sz="900" kern="1200"/>
  </cs:axisTitle>
  <cs:category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categoryAxis>
  <cs:chartArea>
    <cs:lnRef idx="0">
      <cs:styleClr val="0"/>
    </cs:lnRef>
    <cs:fillRef idx="0">
      <cs:styleClr val="0"/>
    </cs:fillRef>
    <cs:effectRef idx="0"/>
    <cs:fontRef idx="minor">
      <a:schemeClr val="lt1"/>
    </cs:fontRef>
    <cs:spPr>
      <a:solidFill>
        <a:schemeClr val="phClr"/>
      </a:solidFill>
      <a:ln w="9525" cap="flat" cmpd="sng" algn="ctr">
        <a:solidFill>
          <a:schemeClr val="phClr"/>
        </a:solidFill>
        <a:round/>
      </a:ln>
    </cs:spPr>
    <cs:defRPr sz="9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fontRef idx="minor">
      <a:schemeClr val="tx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
  <cs:dataPoint3D>
    <cs:lnRef idx="0">
      <cs:styleClr val="auto"/>
    </cs:lnRef>
    <cs:fillRef idx="0"/>
    <cs:effectRef idx="0"/>
    <cs:fontRef idx="minor">
      <a:schemeClr val="lt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3D>
  <cs:dataPointLine>
    <cs:lnRef idx="0">
      <cs:styleClr val="auto"/>
    </cs:lnRef>
    <cs:fillRef idx="0"/>
    <cs:effectRef idx="0">
      <cs:styleClr val="auto"/>
    </cs:effectRef>
    <cs:fontRef idx="minor">
      <a:schemeClr val="lt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lt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lt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40000"/>
            <a:lumOff val="60000"/>
            <a:alpha val="25000"/>
          </a:schemeClr>
        </a:solidFill>
      </a:ln>
    </cs:spPr>
    <cs:defRPr sz="900" kern="1200"/>
  </cs:dataTable>
  <cs:downBar>
    <cs:lnRef idx="0">
      <cs:styleClr val="0"/>
    </cs:lnRef>
    <cs:fillRef idx="0"/>
    <cs:effectRef idx="0"/>
    <cs:fontRef idx="minor">
      <a:schemeClr val="lt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lt1"/>
    </cs:fontRef>
    <cs:spPr>
      <a:ln w="9525" cap="flat" cmpd="sng" algn="ctr">
        <a:gradFill>
          <a:gsLst>
            <a:gs pos="0">
              <a:schemeClr val="lt1"/>
            </a:gs>
            <a:gs pos="50000">
              <a:schemeClr val="lt1">
                <a:alpha val="0"/>
              </a:schemeClr>
            </a:gs>
          </a:gsLst>
          <a:lin ang="5400000" scaled="0"/>
        </a:gradFill>
        <a:round/>
      </a:ln>
    </cs:spPr>
  </cs:dropLine>
  <cs:errorBar>
    <cs:lnRef idx="0">
      <cs:styleClr val="0"/>
    </cs:lnRef>
    <cs:fillRef idx="0"/>
    <cs:effectRef idx="0"/>
    <cs:fontRef idx="minor">
      <a:schemeClr val="lt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lt1"/>
    </cs:fontRef>
  </cs:floor>
  <cs:gridlineMajor>
    <cs:lnRef idx="0">
      <cs:styleClr val="0"/>
    </cs:lnRef>
    <cs:fillRef idx="0"/>
    <cs:effectRef idx="0"/>
    <cs:fontRef idx="minor">
      <a:schemeClr val="lt1"/>
    </cs:fontRef>
    <cs:spPr>
      <a:ln>
        <a:solidFill>
          <a:schemeClr val="phClr">
            <a:lumMod val="40000"/>
            <a:lumOff val="60000"/>
            <a:alpha val="25000"/>
          </a:schemeClr>
        </a:solidFill>
      </a:ln>
    </cs:spPr>
  </cs:gridlineMajor>
  <cs:gridlineMinor>
    <cs:lnRef idx="0">
      <cs:styleClr val="0"/>
    </cs:lnRef>
    <cs:fillRef idx="0"/>
    <cs:effectRef idx="0"/>
    <cs:fontRef idx="minor">
      <a:schemeClr val="lt1"/>
    </cs:fontRef>
    <cs:spPr>
      <a:ln>
        <a:solidFill>
          <a:schemeClr val="phClr">
            <a:lumMod val="40000"/>
            <a:lumOff val="60000"/>
            <a:alpha val="25000"/>
          </a:schemeClr>
        </a:solidFill>
      </a:ln>
    </cs:spPr>
  </cs:gridlineMinor>
  <cs:hiLoLine>
    <cs:lnRef idx="0">
      <cs:styleClr val="0"/>
    </cs:lnRef>
    <cs:fillRef idx="0"/>
    <cs:effectRef idx="0"/>
    <cs:fontRef idx="minor">
      <a:schemeClr val="lt1"/>
    </cs:fontRef>
    <cs:spPr>
      <a:ln w="9525">
        <a:solidFill>
          <a:schemeClr val="phClr">
            <a:lumMod val="60000"/>
            <a:lumOff val="40000"/>
          </a:schemeClr>
        </a:solidFill>
      </a:ln>
    </cs:spPr>
  </cs:hiLoLine>
  <cs:leaderLine>
    <cs:lnRef idx="0">
      <cs:styleClr val="0"/>
    </cs:lnRef>
    <cs:fillRef idx="0"/>
    <cs:effectRef idx="0"/>
    <cs:fontRef idx="minor">
      <a:schemeClr val="lt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seriesAxis>
  <cs:seriesLine>
    <cs:lnRef idx="0">
      <cs:styleClr val="0"/>
    </cs:lnRef>
    <cs:fillRef idx="0"/>
    <cs:effectRef idx="0"/>
    <cs:fontRef idx="minor">
      <a:schemeClr val="lt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lt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lt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bodyPr/>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85">
  <cs:axisTitle>
    <cs:lnRef idx="0"/>
    <cs:fillRef idx="0"/>
    <cs:effectRef idx="0"/>
    <cs:fontRef idx="minor">
      <a:schemeClr val="lt1"/>
    </cs:fontRef>
    <cs:defRPr sz="900" kern="1200"/>
  </cs:axisTitle>
  <cs:category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categoryAxis>
  <cs:chartArea>
    <cs:lnRef idx="0">
      <cs:styleClr val="0"/>
    </cs:lnRef>
    <cs:fillRef idx="0">
      <cs:styleClr val="0"/>
    </cs:fillRef>
    <cs:effectRef idx="0"/>
    <cs:fontRef idx="minor">
      <a:schemeClr val="lt1"/>
    </cs:fontRef>
    <cs:spPr>
      <a:solidFill>
        <a:schemeClr val="phClr"/>
      </a:solidFill>
      <a:ln w="9525" cap="flat" cmpd="sng" algn="ctr">
        <a:solidFill>
          <a:schemeClr val="phClr"/>
        </a:solidFill>
        <a:round/>
      </a:ln>
    </cs:spPr>
    <cs:defRPr sz="9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fontRef idx="minor">
      <a:schemeClr val="tx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
  <cs:dataPoint3D>
    <cs:lnRef idx="0">
      <cs:styleClr val="auto"/>
    </cs:lnRef>
    <cs:fillRef idx="0"/>
    <cs:effectRef idx="0"/>
    <cs:fontRef idx="minor">
      <a:schemeClr val="lt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3D>
  <cs:dataPointLine>
    <cs:lnRef idx="0">
      <cs:styleClr val="auto"/>
    </cs:lnRef>
    <cs:fillRef idx="0"/>
    <cs:effectRef idx="0">
      <cs:styleClr val="auto"/>
    </cs:effectRef>
    <cs:fontRef idx="minor">
      <a:schemeClr val="lt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lt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lt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40000"/>
            <a:lumOff val="60000"/>
            <a:alpha val="25000"/>
          </a:schemeClr>
        </a:solidFill>
      </a:ln>
    </cs:spPr>
    <cs:defRPr sz="900" kern="1200"/>
  </cs:dataTable>
  <cs:downBar>
    <cs:lnRef idx="0">
      <cs:styleClr val="0"/>
    </cs:lnRef>
    <cs:fillRef idx="0"/>
    <cs:effectRef idx="0"/>
    <cs:fontRef idx="minor">
      <a:schemeClr val="lt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lt1"/>
    </cs:fontRef>
    <cs:spPr>
      <a:ln w="9525" cap="flat" cmpd="sng" algn="ctr">
        <a:gradFill>
          <a:gsLst>
            <a:gs pos="0">
              <a:schemeClr val="lt1"/>
            </a:gs>
            <a:gs pos="50000">
              <a:schemeClr val="lt1">
                <a:alpha val="0"/>
              </a:schemeClr>
            </a:gs>
          </a:gsLst>
          <a:lin ang="5400000" scaled="0"/>
        </a:gradFill>
        <a:round/>
      </a:ln>
    </cs:spPr>
  </cs:dropLine>
  <cs:errorBar>
    <cs:lnRef idx="0">
      <cs:styleClr val="0"/>
    </cs:lnRef>
    <cs:fillRef idx="0"/>
    <cs:effectRef idx="0"/>
    <cs:fontRef idx="minor">
      <a:schemeClr val="lt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lt1"/>
    </cs:fontRef>
  </cs:floor>
  <cs:gridlineMajor>
    <cs:lnRef idx="0">
      <cs:styleClr val="0"/>
    </cs:lnRef>
    <cs:fillRef idx="0"/>
    <cs:effectRef idx="0"/>
    <cs:fontRef idx="minor">
      <a:schemeClr val="lt1"/>
    </cs:fontRef>
    <cs:spPr>
      <a:ln>
        <a:solidFill>
          <a:schemeClr val="phClr">
            <a:lumMod val="40000"/>
            <a:lumOff val="60000"/>
            <a:alpha val="25000"/>
          </a:schemeClr>
        </a:solidFill>
      </a:ln>
    </cs:spPr>
  </cs:gridlineMajor>
  <cs:gridlineMinor>
    <cs:lnRef idx="0">
      <cs:styleClr val="0"/>
    </cs:lnRef>
    <cs:fillRef idx="0"/>
    <cs:effectRef idx="0"/>
    <cs:fontRef idx="minor">
      <a:schemeClr val="lt1"/>
    </cs:fontRef>
    <cs:spPr>
      <a:ln>
        <a:solidFill>
          <a:schemeClr val="phClr">
            <a:lumMod val="40000"/>
            <a:lumOff val="60000"/>
            <a:alpha val="25000"/>
          </a:schemeClr>
        </a:solidFill>
      </a:ln>
    </cs:spPr>
  </cs:gridlineMinor>
  <cs:hiLoLine>
    <cs:lnRef idx="0">
      <cs:styleClr val="0"/>
    </cs:lnRef>
    <cs:fillRef idx="0"/>
    <cs:effectRef idx="0"/>
    <cs:fontRef idx="minor">
      <a:schemeClr val="lt1"/>
    </cs:fontRef>
    <cs:spPr>
      <a:ln w="9525">
        <a:solidFill>
          <a:schemeClr val="phClr">
            <a:lumMod val="60000"/>
            <a:lumOff val="40000"/>
          </a:schemeClr>
        </a:solidFill>
      </a:ln>
    </cs:spPr>
  </cs:hiLoLine>
  <cs:leaderLine>
    <cs:lnRef idx="0">
      <cs:styleClr val="0"/>
    </cs:lnRef>
    <cs:fillRef idx="0"/>
    <cs:effectRef idx="0"/>
    <cs:fontRef idx="minor">
      <a:schemeClr val="lt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seriesAxis>
  <cs:seriesLine>
    <cs:lnRef idx="0">
      <cs:styleClr val="0"/>
    </cs:lnRef>
    <cs:fillRef idx="0"/>
    <cs:effectRef idx="0"/>
    <cs:fontRef idx="minor">
      <a:schemeClr val="lt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lt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lt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bodyPr/>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8" Type="http://schemas.openxmlformats.org/officeDocument/2006/relationships/hyperlink" Target="#'Daily ER No. of Patient'!A1"/><Relationship Id="rId13" Type="http://schemas.openxmlformats.org/officeDocument/2006/relationships/chart" Target="../charts/chart3.xml"/><Relationship Id="rId18" Type="http://schemas.openxmlformats.org/officeDocument/2006/relationships/chart" Target="../charts/chart7.xml"/><Relationship Id="rId3" Type="http://schemas.openxmlformats.org/officeDocument/2006/relationships/image" Target="../media/image3.svg"/><Relationship Id="rId7" Type="http://schemas.openxmlformats.org/officeDocument/2006/relationships/image" Target="../media/image7.svg"/><Relationship Id="rId12" Type="http://schemas.openxmlformats.org/officeDocument/2006/relationships/hyperlink" Target="#'Satisfaction score Daily trends'!A1"/><Relationship Id="rId17" Type="http://schemas.openxmlformats.org/officeDocument/2006/relationships/chart" Target="../charts/chart6.xml"/><Relationship Id="rId2" Type="http://schemas.openxmlformats.org/officeDocument/2006/relationships/image" Target="../media/image2.png"/><Relationship Id="rId16" Type="http://schemas.openxmlformats.org/officeDocument/2006/relationships/chart" Target="../charts/chart5.xml"/><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chart" Target="../charts/chart2.xml"/><Relationship Id="rId5" Type="http://schemas.openxmlformats.org/officeDocument/2006/relationships/image" Target="../media/image5.svg"/><Relationship Id="rId15" Type="http://schemas.openxmlformats.org/officeDocument/2006/relationships/chart" Target="../charts/chart4.xml"/><Relationship Id="rId10" Type="http://schemas.openxmlformats.org/officeDocument/2006/relationships/hyperlink" Target="#'Average Wait time daily trend'!A1"/><Relationship Id="rId4" Type="http://schemas.openxmlformats.org/officeDocument/2006/relationships/image" Target="../media/image4.png"/><Relationship Id="rId9" Type="http://schemas.openxmlformats.org/officeDocument/2006/relationships/chart" Target="../charts/chart1.xml"/><Relationship Id="rId14" Type="http://schemas.openxmlformats.org/officeDocument/2006/relationships/image" Target="../media/image8.emf"/></Relationships>
</file>

<file path=xl/drawings/_rels/drawing3.xml.rels><?xml version="1.0" encoding="UTF-8" standalone="yes"?>
<Relationships xmlns="http://schemas.openxmlformats.org/package/2006/relationships"><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3" Type="http://schemas.openxmlformats.org/officeDocument/2006/relationships/image" Target="../media/image10.png"/><Relationship Id="rId2" Type="http://schemas.openxmlformats.org/officeDocument/2006/relationships/hyperlink" Target="#Dashboard!A1"/><Relationship Id="rId1" Type="http://schemas.openxmlformats.org/officeDocument/2006/relationships/chart" Target="../charts/chart9.xml"/><Relationship Id="rId4" Type="http://schemas.openxmlformats.org/officeDocument/2006/relationships/image" Target="../media/image11.svg"/></Relationships>
</file>

<file path=xl/drawings/_rels/drawing5.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6.xml.rels><?xml version="1.0" encoding="UTF-8" standalone="yes"?>
<Relationships xmlns="http://schemas.openxmlformats.org/package/2006/relationships"><Relationship Id="rId3" Type="http://schemas.openxmlformats.org/officeDocument/2006/relationships/image" Target="../media/image11.svg"/><Relationship Id="rId2" Type="http://schemas.openxmlformats.org/officeDocument/2006/relationships/image" Target="../media/image10.png"/><Relationship Id="rId1" Type="http://schemas.openxmlformats.org/officeDocument/2006/relationships/hyperlink" Target="#Dashboard!A1"/></Relationships>
</file>

<file path=xl/drawings/_rels/drawing7.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8.xml.rels><?xml version="1.0" encoding="UTF-8" standalone="yes"?>
<Relationships xmlns="http://schemas.openxmlformats.org/package/2006/relationships"><Relationship Id="rId3" Type="http://schemas.openxmlformats.org/officeDocument/2006/relationships/image" Target="../media/image13.svg"/><Relationship Id="rId2" Type="http://schemas.openxmlformats.org/officeDocument/2006/relationships/image" Target="../media/image12.png"/><Relationship Id="rId1" Type="http://schemas.openxmlformats.org/officeDocument/2006/relationships/hyperlink" Target="#Dashboard!A1"/></Relationships>
</file>

<file path=xl/drawings/_rels/vmlDrawing1.vml.rels><?xml version="1.0" encoding="UTF-8" standalone="yes"?>
<Relationships xmlns="http://schemas.openxmlformats.org/package/2006/relationships"><Relationship Id="rId1" Type="http://schemas.openxmlformats.org/officeDocument/2006/relationships/image" Target="../media/image9.emf"/></Relationships>
</file>

<file path=xl/drawings/drawing1.xml><?xml version="1.0" encoding="utf-8"?>
<xdr:wsDr xmlns:xdr="http://schemas.openxmlformats.org/drawingml/2006/spreadsheetDrawing" xmlns:a="http://schemas.openxmlformats.org/drawingml/2006/main">
  <xdr:twoCellAnchor editAs="absolute">
    <xdr:from>
      <xdr:col>0</xdr:col>
      <xdr:colOff>180975</xdr:colOff>
      <xdr:row>0</xdr:row>
      <xdr:rowOff>161925</xdr:rowOff>
    </xdr:from>
    <xdr:to>
      <xdr:col>8</xdr:col>
      <xdr:colOff>209550</xdr:colOff>
      <xdr:row>4</xdr:row>
      <xdr:rowOff>152400</xdr:rowOff>
    </xdr:to>
    <xdr:sp macro="" textlink="">
      <xdr:nvSpPr>
        <xdr:cNvPr id="2" name="Rectangle: Rounded Corners 1">
          <a:extLst>
            <a:ext uri="{FF2B5EF4-FFF2-40B4-BE49-F238E27FC236}">
              <a16:creationId xmlns:a16="http://schemas.microsoft.com/office/drawing/2014/main" id="{903B8D44-C9D1-B8EB-A085-686EBBC98EBA}"/>
            </a:ext>
          </a:extLst>
        </xdr:cNvPr>
        <xdr:cNvSpPr/>
      </xdr:nvSpPr>
      <xdr:spPr>
        <a:xfrm>
          <a:off x="180975" y="161925"/>
          <a:ext cx="4905375" cy="752475"/>
        </a:xfrm>
        <a:prstGeom prst="round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absolute">
    <xdr:from>
      <xdr:col>8</xdr:col>
      <xdr:colOff>257175</xdr:colOff>
      <xdr:row>0</xdr:row>
      <xdr:rowOff>161925</xdr:rowOff>
    </xdr:from>
    <xdr:to>
      <xdr:col>13</xdr:col>
      <xdr:colOff>419101</xdr:colOff>
      <xdr:row>4</xdr:row>
      <xdr:rowOff>161925</xdr:rowOff>
    </xdr:to>
    <xdr:sp macro="" textlink="">
      <xdr:nvSpPr>
        <xdr:cNvPr id="3" name="Rectangle: Rounded Corners 2">
          <a:extLst>
            <a:ext uri="{FF2B5EF4-FFF2-40B4-BE49-F238E27FC236}">
              <a16:creationId xmlns:a16="http://schemas.microsoft.com/office/drawing/2014/main" id="{53B84631-6410-0FDF-06D0-15039F5682F8}"/>
            </a:ext>
          </a:extLst>
        </xdr:cNvPr>
        <xdr:cNvSpPr/>
      </xdr:nvSpPr>
      <xdr:spPr>
        <a:xfrm>
          <a:off x="5133975" y="161925"/>
          <a:ext cx="3209926" cy="762000"/>
        </a:xfrm>
        <a:prstGeom prst="roundRect">
          <a:avLst>
            <a:gd name="adj" fmla="val 0"/>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41</xdr:col>
      <xdr:colOff>476250</xdr:colOff>
      <xdr:row>1</xdr:row>
      <xdr:rowOff>66675</xdr:rowOff>
    </xdr:from>
    <xdr:to>
      <xdr:col>44</xdr:col>
      <xdr:colOff>123825</xdr:colOff>
      <xdr:row>5</xdr:row>
      <xdr:rowOff>57150</xdr:rowOff>
    </xdr:to>
    <xdr:sp macro="" textlink="">
      <xdr:nvSpPr>
        <xdr:cNvPr id="7" name="Rectangle: Rounded Corners 6">
          <a:extLst>
            <a:ext uri="{FF2B5EF4-FFF2-40B4-BE49-F238E27FC236}">
              <a16:creationId xmlns:a16="http://schemas.microsoft.com/office/drawing/2014/main" id="{E6CC5DFF-AABF-4746-70FB-6168EA734C9A}"/>
            </a:ext>
          </a:extLst>
        </xdr:cNvPr>
        <xdr:cNvSpPr/>
      </xdr:nvSpPr>
      <xdr:spPr>
        <a:xfrm>
          <a:off x="25469850" y="257175"/>
          <a:ext cx="1476375" cy="752475"/>
        </a:xfrm>
        <a:prstGeom prst="round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50</xdr:col>
      <xdr:colOff>47625</xdr:colOff>
      <xdr:row>1</xdr:row>
      <xdr:rowOff>85725</xdr:rowOff>
    </xdr:from>
    <xdr:to>
      <xdr:col>52</xdr:col>
      <xdr:colOff>304800</xdr:colOff>
      <xdr:row>5</xdr:row>
      <xdr:rowOff>76200</xdr:rowOff>
    </xdr:to>
    <xdr:sp macro="" textlink="">
      <xdr:nvSpPr>
        <xdr:cNvPr id="8" name="Rectangle: Rounded Corners 7">
          <a:extLst>
            <a:ext uri="{FF2B5EF4-FFF2-40B4-BE49-F238E27FC236}">
              <a16:creationId xmlns:a16="http://schemas.microsoft.com/office/drawing/2014/main" id="{1A5FE689-37B6-11C5-F27D-F763D0D3479F}"/>
            </a:ext>
          </a:extLst>
        </xdr:cNvPr>
        <xdr:cNvSpPr/>
      </xdr:nvSpPr>
      <xdr:spPr>
        <a:xfrm>
          <a:off x="30527625" y="276225"/>
          <a:ext cx="1476375" cy="752475"/>
        </a:xfrm>
        <a:prstGeom prst="round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absolute">
    <xdr:from>
      <xdr:col>6</xdr:col>
      <xdr:colOff>438150</xdr:colOff>
      <xdr:row>5</xdr:row>
      <xdr:rowOff>66675</xdr:rowOff>
    </xdr:from>
    <xdr:to>
      <xdr:col>10</xdr:col>
      <xdr:colOff>266700</xdr:colOff>
      <xdr:row>10</xdr:row>
      <xdr:rowOff>171450</xdr:rowOff>
    </xdr:to>
    <xdr:sp macro="" textlink="">
      <xdr:nvSpPr>
        <xdr:cNvPr id="9" name="Rectangle: Rounded Corners 8">
          <a:extLst>
            <a:ext uri="{FF2B5EF4-FFF2-40B4-BE49-F238E27FC236}">
              <a16:creationId xmlns:a16="http://schemas.microsoft.com/office/drawing/2014/main" id="{A40698D7-FF62-F7F6-06B4-29D4C7682C0F}"/>
            </a:ext>
          </a:extLst>
        </xdr:cNvPr>
        <xdr:cNvSpPr/>
      </xdr:nvSpPr>
      <xdr:spPr>
        <a:xfrm>
          <a:off x="4095750" y="1019175"/>
          <a:ext cx="2266950" cy="1057275"/>
        </a:xfrm>
        <a:prstGeom prst="roundRect">
          <a:avLst>
            <a:gd name="adj" fmla="val 8559"/>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solidFill>
              <a:schemeClr val="lt1"/>
            </a:solidFill>
          </a:endParaRPr>
        </a:p>
      </xdr:txBody>
    </xdr:sp>
    <xdr:clientData/>
  </xdr:twoCellAnchor>
  <xdr:twoCellAnchor editAs="absolute">
    <xdr:from>
      <xdr:col>10</xdr:col>
      <xdr:colOff>333376</xdr:colOff>
      <xdr:row>5</xdr:row>
      <xdr:rowOff>57151</xdr:rowOff>
    </xdr:from>
    <xdr:to>
      <xdr:col>13</xdr:col>
      <xdr:colOff>504825</xdr:colOff>
      <xdr:row>10</xdr:row>
      <xdr:rowOff>161925</xdr:rowOff>
    </xdr:to>
    <xdr:sp macro="" textlink="">
      <xdr:nvSpPr>
        <xdr:cNvPr id="10" name="Rectangle: Rounded Corners 9">
          <a:extLst>
            <a:ext uri="{FF2B5EF4-FFF2-40B4-BE49-F238E27FC236}">
              <a16:creationId xmlns:a16="http://schemas.microsoft.com/office/drawing/2014/main" id="{05418BFF-5F4A-05DC-ACA0-F89FFF92A2D5}"/>
            </a:ext>
          </a:extLst>
        </xdr:cNvPr>
        <xdr:cNvSpPr/>
      </xdr:nvSpPr>
      <xdr:spPr>
        <a:xfrm>
          <a:off x="6429376" y="1009651"/>
          <a:ext cx="2000249" cy="1057274"/>
        </a:xfrm>
        <a:prstGeom prst="roundRect">
          <a:avLst>
            <a:gd name="adj" fmla="val 4955"/>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absolute">
    <xdr:from>
      <xdr:col>2</xdr:col>
      <xdr:colOff>571500</xdr:colOff>
      <xdr:row>5</xdr:row>
      <xdr:rowOff>38100</xdr:rowOff>
    </xdr:from>
    <xdr:to>
      <xdr:col>6</xdr:col>
      <xdr:colOff>380999</xdr:colOff>
      <xdr:row>10</xdr:row>
      <xdr:rowOff>38100</xdr:rowOff>
    </xdr:to>
    <xdr:sp macro="" textlink="">
      <xdr:nvSpPr>
        <xdr:cNvPr id="11" name="Rectangle: Rounded Corners 10">
          <a:extLst>
            <a:ext uri="{FF2B5EF4-FFF2-40B4-BE49-F238E27FC236}">
              <a16:creationId xmlns:a16="http://schemas.microsoft.com/office/drawing/2014/main" id="{8F537A72-FEE7-0F29-E2F6-8420273B7784}"/>
            </a:ext>
          </a:extLst>
        </xdr:cNvPr>
        <xdr:cNvSpPr/>
      </xdr:nvSpPr>
      <xdr:spPr>
        <a:xfrm>
          <a:off x="1790700" y="990600"/>
          <a:ext cx="2247899" cy="952500"/>
        </a:xfrm>
        <a:prstGeom prst="round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absolute">
    <xdr:from>
      <xdr:col>14</xdr:col>
      <xdr:colOff>38100</xdr:colOff>
      <xdr:row>1</xdr:row>
      <xdr:rowOff>0</xdr:rowOff>
    </xdr:from>
    <xdr:to>
      <xdr:col>17</xdr:col>
      <xdr:colOff>0</xdr:colOff>
      <xdr:row>10</xdr:row>
      <xdr:rowOff>171450</xdr:rowOff>
    </xdr:to>
    <xdr:sp macro="" textlink="">
      <xdr:nvSpPr>
        <xdr:cNvPr id="12" name="Rectangle: Rounded Corners 11">
          <a:extLst>
            <a:ext uri="{FF2B5EF4-FFF2-40B4-BE49-F238E27FC236}">
              <a16:creationId xmlns:a16="http://schemas.microsoft.com/office/drawing/2014/main" id="{02D56CC6-F23E-A02B-32B1-3A4A64C60B2B}"/>
            </a:ext>
          </a:extLst>
        </xdr:cNvPr>
        <xdr:cNvSpPr/>
      </xdr:nvSpPr>
      <xdr:spPr>
        <a:xfrm>
          <a:off x="8572500" y="190500"/>
          <a:ext cx="1790700" cy="1885950"/>
        </a:xfrm>
        <a:prstGeom prst="roundRect">
          <a:avLst>
            <a:gd name="adj" fmla="val 8667"/>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17</xdr:col>
      <xdr:colOff>142875</xdr:colOff>
      <xdr:row>1</xdr:row>
      <xdr:rowOff>28575</xdr:rowOff>
    </xdr:from>
    <xdr:to>
      <xdr:col>20</xdr:col>
      <xdr:colOff>219075</xdr:colOff>
      <xdr:row>10</xdr:row>
      <xdr:rowOff>161925</xdr:rowOff>
    </xdr:to>
    <xdr:sp macro="" textlink="">
      <xdr:nvSpPr>
        <xdr:cNvPr id="13" name="Rectangle: Rounded Corners 12">
          <a:extLst>
            <a:ext uri="{FF2B5EF4-FFF2-40B4-BE49-F238E27FC236}">
              <a16:creationId xmlns:a16="http://schemas.microsoft.com/office/drawing/2014/main" id="{F95C5833-1E17-EAF7-BFB0-E7AF213A09D0}"/>
            </a:ext>
          </a:extLst>
        </xdr:cNvPr>
        <xdr:cNvSpPr/>
      </xdr:nvSpPr>
      <xdr:spPr>
        <a:xfrm>
          <a:off x="10506075" y="219075"/>
          <a:ext cx="1905000" cy="1847850"/>
        </a:xfrm>
        <a:prstGeom prst="roundRect">
          <a:avLst>
            <a:gd name="adj" fmla="val 7904"/>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absolute">
    <xdr:from>
      <xdr:col>0</xdr:col>
      <xdr:colOff>200025</xdr:colOff>
      <xdr:row>5</xdr:row>
      <xdr:rowOff>38100</xdr:rowOff>
    </xdr:from>
    <xdr:to>
      <xdr:col>2</xdr:col>
      <xdr:colOff>457200</xdr:colOff>
      <xdr:row>21</xdr:row>
      <xdr:rowOff>57150</xdr:rowOff>
    </xdr:to>
    <xdr:sp macro="" textlink="">
      <xdr:nvSpPr>
        <xdr:cNvPr id="14" name="Rectangle: Rounded Corners 13">
          <a:extLst>
            <a:ext uri="{FF2B5EF4-FFF2-40B4-BE49-F238E27FC236}">
              <a16:creationId xmlns:a16="http://schemas.microsoft.com/office/drawing/2014/main" id="{CF3B1234-EB48-B2ED-4ECF-7D9A841BDAA7}"/>
            </a:ext>
          </a:extLst>
        </xdr:cNvPr>
        <xdr:cNvSpPr/>
      </xdr:nvSpPr>
      <xdr:spPr>
        <a:xfrm>
          <a:off x="200025" y="990600"/>
          <a:ext cx="1476375" cy="3067050"/>
        </a:xfrm>
        <a:prstGeom prst="roundRect">
          <a:avLst>
            <a:gd name="adj" fmla="val 5054"/>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absolute">
    <xdr:from>
      <xdr:col>14</xdr:col>
      <xdr:colOff>38100</xdr:colOff>
      <xdr:row>11</xdr:row>
      <xdr:rowOff>9525</xdr:rowOff>
    </xdr:from>
    <xdr:to>
      <xdr:col>20</xdr:col>
      <xdr:colOff>180975</xdr:colOff>
      <xdr:row>22</xdr:row>
      <xdr:rowOff>85725</xdr:rowOff>
    </xdr:to>
    <xdr:sp macro="" textlink="">
      <xdr:nvSpPr>
        <xdr:cNvPr id="15" name="Rectangle: Rounded Corners 14">
          <a:extLst>
            <a:ext uri="{FF2B5EF4-FFF2-40B4-BE49-F238E27FC236}">
              <a16:creationId xmlns:a16="http://schemas.microsoft.com/office/drawing/2014/main" id="{D9612B7E-6FDE-A510-62FD-0AB0F548B87C}"/>
            </a:ext>
          </a:extLst>
        </xdr:cNvPr>
        <xdr:cNvSpPr/>
      </xdr:nvSpPr>
      <xdr:spPr>
        <a:xfrm>
          <a:off x="8572500" y="2105025"/>
          <a:ext cx="3800475" cy="2171700"/>
        </a:xfrm>
        <a:prstGeom prst="roundRect">
          <a:avLst>
            <a:gd name="adj" fmla="val 3947"/>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absolute">
    <xdr:from>
      <xdr:col>2</xdr:col>
      <xdr:colOff>561974</xdr:colOff>
      <xdr:row>11</xdr:row>
      <xdr:rowOff>38100</xdr:rowOff>
    </xdr:from>
    <xdr:to>
      <xdr:col>13</xdr:col>
      <xdr:colOff>552450</xdr:colOff>
      <xdr:row>15</xdr:row>
      <xdr:rowOff>28575</xdr:rowOff>
    </xdr:to>
    <xdr:sp macro="" textlink="">
      <xdr:nvSpPr>
        <xdr:cNvPr id="16" name="Rectangle: Rounded Corners 15">
          <a:extLst>
            <a:ext uri="{FF2B5EF4-FFF2-40B4-BE49-F238E27FC236}">
              <a16:creationId xmlns:a16="http://schemas.microsoft.com/office/drawing/2014/main" id="{7E41EE55-F66C-4C2A-F401-028F1F355230}"/>
            </a:ext>
          </a:extLst>
        </xdr:cNvPr>
        <xdr:cNvSpPr/>
      </xdr:nvSpPr>
      <xdr:spPr>
        <a:xfrm>
          <a:off x="1781174" y="2133600"/>
          <a:ext cx="6696076" cy="752475"/>
        </a:xfrm>
        <a:prstGeom prst="roundRect">
          <a:avLst>
            <a:gd name="adj" fmla="val 50000"/>
          </a:avLst>
        </a:prstGeom>
        <a:solidFill>
          <a:schemeClr val="bg2"/>
        </a:solidFill>
        <a:ln>
          <a:solidFill>
            <a:schemeClr val="lt1">
              <a:shade val="5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absolute">
    <xdr:from>
      <xdr:col>2</xdr:col>
      <xdr:colOff>561974</xdr:colOff>
      <xdr:row>15</xdr:row>
      <xdr:rowOff>104774</xdr:rowOff>
    </xdr:from>
    <xdr:to>
      <xdr:col>13</xdr:col>
      <xdr:colOff>552450</xdr:colOff>
      <xdr:row>22</xdr:row>
      <xdr:rowOff>76200</xdr:rowOff>
    </xdr:to>
    <xdr:sp macro="" textlink="">
      <xdr:nvSpPr>
        <xdr:cNvPr id="17" name="Rectangle: Rounded Corners 16">
          <a:extLst>
            <a:ext uri="{FF2B5EF4-FFF2-40B4-BE49-F238E27FC236}">
              <a16:creationId xmlns:a16="http://schemas.microsoft.com/office/drawing/2014/main" id="{DD526448-DDED-4260-6E6E-D7AD3B1B7B6A}"/>
            </a:ext>
          </a:extLst>
        </xdr:cNvPr>
        <xdr:cNvSpPr/>
      </xdr:nvSpPr>
      <xdr:spPr>
        <a:xfrm>
          <a:off x="1781174" y="2962274"/>
          <a:ext cx="6696076" cy="1304926"/>
        </a:xfrm>
        <a:prstGeom prst="roundRect">
          <a:avLst>
            <a:gd name="adj" fmla="val 7299"/>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0</xdr:col>
      <xdr:colOff>257175</xdr:colOff>
      <xdr:row>1</xdr:row>
      <xdr:rowOff>57151</xdr:rowOff>
    </xdr:from>
    <xdr:to>
      <xdr:col>1</xdr:col>
      <xdr:colOff>419100</xdr:colOff>
      <xdr:row>4</xdr:row>
      <xdr:rowOff>19051</xdr:rowOff>
    </xdr:to>
    <xdr:pic>
      <xdr:nvPicPr>
        <xdr:cNvPr id="19" name="Picture 18">
          <a:extLst>
            <a:ext uri="{FF2B5EF4-FFF2-40B4-BE49-F238E27FC236}">
              <a16:creationId xmlns:a16="http://schemas.microsoft.com/office/drawing/2014/main" id="{A42D4A92-EBA8-885F-7F9A-8E1EAD5ED6F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57175" y="247651"/>
          <a:ext cx="771525" cy="533400"/>
        </a:xfrm>
        <a:prstGeom prst="rect">
          <a:avLst/>
        </a:prstGeom>
      </xdr:spPr>
    </xdr:pic>
    <xdr:clientData/>
  </xdr:twoCellAnchor>
  <xdr:twoCellAnchor>
    <xdr:from>
      <xdr:col>1</xdr:col>
      <xdr:colOff>542925</xdr:colOff>
      <xdr:row>1</xdr:row>
      <xdr:rowOff>0</xdr:rowOff>
    </xdr:from>
    <xdr:to>
      <xdr:col>7</xdr:col>
      <xdr:colOff>152400</xdr:colOff>
      <xdr:row>2</xdr:row>
      <xdr:rowOff>123825</xdr:rowOff>
    </xdr:to>
    <xdr:sp macro="" textlink="">
      <xdr:nvSpPr>
        <xdr:cNvPr id="22" name="TextBox 21">
          <a:extLst>
            <a:ext uri="{FF2B5EF4-FFF2-40B4-BE49-F238E27FC236}">
              <a16:creationId xmlns:a16="http://schemas.microsoft.com/office/drawing/2014/main" id="{1609D44A-1C0D-90EC-C997-59898A5BE34C}"/>
            </a:ext>
          </a:extLst>
        </xdr:cNvPr>
        <xdr:cNvSpPr txBox="1"/>
      </xdr:nvSpPr>
      <xdr:spPr>
        <a:xfrm>
          <a:off x="1152525" y="190500"/>
          <a:ext cx="3267075" cy="3143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a:t>Hospital</a:t>
          </a:r>
          <a:r>
            <a:rPr lang="en-US" sz="1600" baseline="0"/>
            <a:t> Emergency </a:t>
          </a:r>
          <a:r>
            <a:rPr lang="en-US" sz="1600" baseline="0">
              <a:ln>
                <a:noFill/>
              </a:ln>
            </a:rPr>
            <a:t>Room</a:t>
          </a:r>
          <a:r>
            <a:rPr lang="en-US" sz="1600" baseline="0"/>
            <a:t> Dashboard</a:t>
          </a:r>
          <a:endParaRPr lang="en-US" sz="1600"/>
        </a:p>
      </xdr:txBody>
    </xdr:sp>
    <xdr:clientData/>
  </xdr:twoCellAnchor>
  <xdr:twoCellAnchor>
    <xdr:from>
      <xdr:col>3</xdr:col>
      <xdr:colOff>238124</xdr:colOff>
      <xdr:row>2</xdr:row>
      <xdr:rowOff>152401</xdr:rowOff>
    </xdr:from>
    <xdr:to>
      <xdr:col>5</xdr:col>
      <xdr:colOff>342899</xdr:colOff>
      <xdr:row>4</xdr:row>
      <xdr:rowOff>57151</xdr:rowOff>
    </xdr:to>
    <xdr:sp macro="" textlink="">
      <xdr:nvSpPr>
        <xdr:cNvPr id="23" name="TextBox 22">
          <a:extLst>
            <a:ext uri="{FF2B5EF4-FFF2-40B4-BE49-F238E27FC236}">
              <a16:creationId xmlns:a16="http://schemas.microsoft.com/office/drawing/2014/main" id="{5DBA8274-5B39-DB2B-588D-4A80B6C167E9}"/>
            </a:ext>
          </a:extLst>
        </xdr:cNvPr>
        <xdr:cNvSpPr txBox="1"/>
      </xdr:nvSpPr>
      <xdr:spPr>
        <a:xfrm>
          <a:off x="2066924" y="533401"/>
          <a:ext cx="1323975" cy="2857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baseline="0"/>
            <a:t> Monthly Report</a:t>
          </a:r>
          <a:endParaRPr lang="en-US" sz="1400"/>
        </a:p>
      </xdr:txBody>
    </xdr:sp>
    <xdr:clientData/>
  </xdr:twoCellAnchor>
  <xdr:twoCellAnchor editAs="absolute">
    <xdr:from>
      <xdr:col>2</xdr:col>
      <xdr:colOff>571500</xdr:colOff>
      <xdr:row>5</xdr:row>
      <xdr:rowOff>47625</xdr:rowOff>
    </xdr:from>
    <xdr:to>
      <xdr:col>6</xdr:col>
      <xdr:colOff>380999</xdr:colOff>
      <xdr:row>10</xdr:row>
      <xdr:rowOff>171450</xdr:rowOff>
    </xdr:to>
    <xdr:sp macro="" textlink="">
      <xdr:nvSpPr>
        <xdr:cNvPr id="56" name="Rectangle: Rounded Corners 55">
          <a:extLst>
            <a:ext uri="{FF2B5EF4-FFF2-40B4-BE49-F238E27FC236}">
              <a16:creationId xmlns:a16="http://schemas.microsoft.com/office/drawing/2014/main" id="{5429E8EA-5B3B-F414-DC59-5F95A28A1C8D}"/>
            </a:ext>
          </a:extLst>
        </xdr:cNvPr>
        <xdr:cNvSpPr/>
      </xdr:nvSpPr>
      <xdr:spPr>
        <a:xfrm>
          <a:off x="1790700" y="1000125"/>
          <a:ext cx="2247899" cy="1076325"/>
        </a:xfrm>
        <a:prstGeom prst="roundRect">
          <a:avLst>
            <a:gd name="adj" fmla="val 6373"/>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238124</xdr:colOff>
      <xdr:row>2</xdr:row>
      <xdr:rowOff>85725</xdr:rowOff>
    </xdr:from>
    <xdr:to>
      <xdr:col>5</xdr:col>
      <xdr:colOff>419100</xdr:colOff>
      <xdr:row>4</xdr:row>
      <xdr:rowOff>66676</xdr:rowOff>
    </xdr:to>
    <xdr:sp macro="" textlink="">
      <xdr:nvSpPr>
        <xdr:cNvPr id="57" name="TextBox 56">
          <a:extLst>
            <a:ext uri="{FF2B5EF4-FFF2-40B4-BE49-F238E27FC236}">
              <a16:creationId xmlns:a16="http://schemas.microsoft.com/office/drawing/2014/main" id="{CC1F1065-F01F-E721-D19D-FD2F34FB4AC6}"/>
            </a:ext>
          </a:extLst>
        </xdr:cNvPr>
        <xdr:cNvSpPr txBox="1"/>
      </xdr:nvSpPr>
      <xdr:spPr>
        <a:xfrm>
          <a:off x="2066924" y="466725"/>
          <a:ext cx="1400176" cy="361951"/>
        </a:xfrm>
        <a:prstGeom prst="rect">
          <a:avLst/>
        </a:prstGeom>
        <a:solidFill>
          <a:schemeClr val="bg2"/>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baseline="0"/>
            <a:t> Monthly Report</a:t>
          </a:r>
          <a:endParaRPr lang="en-US" sz="1400"/>
        </a:p>
      </xdr:txBody>
    </xdr:sp>
    <xdr:clientData/>
  </xdr:twoCellAnchor>
  <xdr:oneCellAnchor>
    <xdr:from>
      <xdr:col>4</xdr:col>
      <xdr:colOff>76200</xdr:colOff>
      <xdr:row>5</xdr:row>
      <xdr:rowOff>104776</xdr:rowOff>
    </xdr:from>
    <xdr:ext cx="933450" cy="342900"/>
    <xdr:sp macro="" textlink="'Pivot Report'!G8">
      <xdr:nvSpPr>
        <xdr:cNvPr id="58" name="TextBox 57">
          <a:extLst>
            <a:ext uri="{FF2B5EF4-FFF2-40B4-BE49-F238E27FC236}">
              <a16:creationId xmlns:a16="http://schemas.microsoft.com/office/drawing/2014/main" id="{1C31F9E4-E867-DC79-DDC5-EF036F7E4373}"/>
            </a:ext>
          </a:extLst>
        </xdr:cNvPr>
        <xdr:cNvSpPr txBox="1"/>
      </xdr:nvSpPr>
      <xdr:spPr>
        <a:xfrm>
          <a:off x="2514600" y="1057276"/>
          <a:ext cx="93345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274320" rtlCol="0" anchor="t">
          <a:noAutofit/>
        </a:bodyPr>
        <a:lstStyle/>
        <a:p>
          <a:fld id="{9397E655-CCC2-41AE-B77C-F37253DDB5B3}" type="TxLink">
            <a:rPr lang="en-US" sz="1600" b="0" i="0" u="none" strike="noStrike">
              <a:solidFill>
                <a:srgbClr val="000000"/>
              </a:solidFill>
              <a:latin typeface="Aptos Narrow"/>
            </a:rPr>
            <a:pPr/>
            <a:t>519</a:t>
          </a:fld>
          <a:endParaRPr lang="en-US" sz="1600"/>
        </a:p>
      </xdr:txBody>
    </xdr:sp>
    <xdr:clientData/>
  </xdr:oneCellAnchor>
  <xdr:twoCellAnchor editAs="absolute">
    <xdr:from>
      <xdr:col>3</xdr:col>
      <xdr:colOff>523874</xdr:colOff>
      <xdr:row>7</xdr:row>
      <xdr:rowOff>114300</xdr:rowOff>
    </xdr:from>
    <xdr:to>
      <xdr:col>5</xdr:col>
      <xdr:colOff>485775</xdr:colOff>
      <xdr:row>9</xdr:row>
      <xdr:rowOff>19050</xdr:rowOff>
    </xdr:to>
    <xdr:sp macro="" textlink="">
      <xdr:nvSpPr>
        <xdr:cNvPr id="59" name="TextBox 58">
          <a:extLst>
            <a:ext uri="{FF2B5EF4-FFF2-40B4-BE49-F238E27FC236}">
              <a16:creationId xmlns:a16="http://schemas.microsoft.com/office/drawing/2014/main" id="{6180E2A0-6DA3-61E9-22F0-569D50021A1F}"/>
            </a:ext>
          </a:extLst>
        </xdr:cNvPr>
        <xdr:cNvSpPr txBox="1"/>
      </xdr:nvSpPr>
      <xdr:spPr>
        <a:xfrm>
          <a:off x="2352674" y="1447800"/>
          <a:ext cx="1181101"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a:t>No.</a:t>
          </a:r>
          <a:r>
            <a:rPr lang="en-US" sz="1400" baseline="0"/>
            <a:t> of Patient</a:t>
          </a:r>
          <a:endParaRPr lang="en-US" sz="1400"/>
        </a:p>
      </xdr:txBody>
    </xdr:sp>
    <xdr:clientData/>
  </xdr:twoCellAnchor>
  <xdr:twoCellAnchor>
    <xdr:from>
      <xdr:col>7</xdr:col>
      <xdr:colOff>180975</xdr:colOff>
      <xdr:row>7</xdr:row>
      <xdr:rowOff>76200</xdr:rowOff>
    </xdr:from>
    <xdr:to>
      <xdr:col>9</xdr:col>
      <xdr:colOff>466725</xdr:colOff>
      <xdr:row>8</xdr:row>
      <xdr:rowOff>171450</xdr:rowOff>
    </xdr:to>
    <xdr:sp macro="" textlink="">
      <xdr:nvSpPr>
        <xdr:cNvPr id="60" name="TextBox 59">
          <a:extLst>
            <a:ext uri="{FF2B5EF4-FFF2-40B4-BE49-F238E27FC236}">
              <a16:creationId xmlns:a16="http://schemas.microsoft.com/office/drawing/2014/main" id="{512BA130-2CCF-BC40-1543-2792FB6450AA}"/>
            </a:ext>
          </a:extLst>
        </xdr:cNvPr>
        <xdr:cNvSpPr txBox="1"/>
      </xdr:nvSpPr>
      <xdr:spPr>
        <a:xfrm>
          <a:off x="4448175" y="1409700"/>
          <a:ext cx="150495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a:t>Average Wait Time</a:t>
          </a:r>
        </a:p>
      </xdr:txBody>
    </xdr:sp>
    <xdr:clientData/>
  </xdr:twoCellAnchor>
  <xdr:twoCellAnchor>
    <xdr:from>
      <xdr:col>10</xdr:col>
      <xdr:colOff>571500</xdr:colOff>
      <xdr:row>7</xdr:row>
      <xdr:rowOff>66675</xdr:rowOff>
    </xdr:from>
    <xdr:to>
      <xdr:col>13</xdr:col>
      <xdr:colOff>323850</xdr:colOff>
      <xdr:row>8</xdr:row>
      <xdr:rowOff>161925</xdr:rowOff>
    </xdr:to>
    <xdr:sp macro="" textlink="">
      <xdr:nvSpPr>
        <xdr:cNvPr id="61" name="TextBox 60">
          <a:extLst>
            <a:ext uri="{FF2B5EF4-FFF2-40B4-BE49-F238E27FC236}">
              <a16:creationId xmlns:a16="http://schemas.microsoft.com/office/drawing/2014/main" id="{CB27C915-999B-26C6-357F-4D5359F81848}"/>
            </a:ext>
          </a:extLst>
        </xdr:cNvPr>
        <xdr:cNvSpPr txBox="1"/>
      </xdr:nvSpPr>
      <xdr:spPr>
        <a:xfrm>
          <a:off x="6667500" y="1400175"/>
          <a:ext cx="158115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a:t>Satisfaction Score</a:t>
          </a:r>
        </a:p>
      </xdr:txBody>
    </xdr:sp>
    <xdr:clientData/>
  </xdr:twoCellAnchor>
  <xdr:twoCellAnchor editAs="absolute">
    <xdr:from>
      <xdr:col>8</xdr:col>
      <xdr:colOff>38101</xdr:colOff>
      <xdr:row>5</xdr:row>
      <xdr:rowOff>142875</xdr:rowOff>
    </xdr:from>
    <xdr:to>
      <xdr:col>9</xdr:col>
      <xdr:colOff>47625</xdr:colOff>
      <xdr:row>7</xdr:row>
      <xdr:rowOff>38100</xdr:rowOff>
    </xdr:to>
    <xdr:sp macro="" textlink="'Pivot Report'!G15">
      <xdr:nvSpPr>
        <xdr:cNvPr id="62" name="TextBox 61">
          <a:extLst>
            <a:ext uri="{FF2B5EF4-FFF2-40B4-BE49-F238E27FC236}">
              <a16:creationId xmlns:a16="http://schemas.microsoft.com/office/drawing/2014/main" id="{E23B1E66-9EEC-0323-1E42-7C8D84B48333}"/>
            </a:ext>
          </a:extLst>
        </xdr:cNvPr>
        <xdr:cNvSpPr txBox="1"/>
      </xdr:nvSpPr>
      <xdr:spPr>
        <a:xfrm>
          <a:off x="4914901" y="1095375"/>
          <a:ext cx="619124" cy="276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976402F4-221F-4A9A-B624-BB4E0E9B81D6}" type="TxLink">
            <a:rPr lang="en-US" sz="1600" b="0" i="0" u="none" strike="noStrike">
              <a:solidFill>
                <a:srgbClr val="000000"/>
              </a:solidFill>
              <a:latin typeface="Aptos Narrow"/>
            </a:rPr>
            <a:pPr/>
            <a:t>35.81</a:t>
          </a:fld>
          <a:endParaRPr lang="en-US" sz="1600"/>
        </a:p>
      </xdr:txBody>
    </xdr:sp>
    <xdr:clientData/>
  </xdr:twoCellAnchor>
  <xdr:twoCellAnchor>
    <xdr:from>
      <xdr:col>11</xdr:col>
      <xdr:colOff>504825</xdr:colOff>
      <xdr:row>5</xdr:row>
      <xdr:rowOff>142875</xdr:rowOff>
    </xdr:from>
    <xdr:to>
      <xdr:col>12</xdr:col>
      <xdr:colOff>390524</xdr:colOff>
      <xdr:row>7</xdr:row>
      <xdr:rowOff>19050</xdr:rowOff>
    </xdr:to>
    <xdr:sp macro="" textlink="'Pivot Report'!G21">
      <xdr:nvSpPr>
        <xdr:cNvPr id="63" name="TextBox 62">
          <a:extLst>
            <a:ext uri="{FF2B5EF4-FFF2-40B4-BE49-F238E27FC236}">
              <a16:creationId xmlns:a16="http://schemas.microsoft.com/office/drawing/2014/main" id="{2DE64343-42F1-48D9-BF2F-827FAE6D7376}"/>
            </a:ext>
          </a:extLst>
        </xdr:cNvPr>
        <xdr:cNvSpPr txBox="1"/>
      </xdr:nvSpPr>
      <xdr:spPr>
        <a:xfrm>
          <a:off x="7210425" y="1095375"/>
          <a:ext cx="495299" cy="2571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AEED18E7-D8BD-4E3A-B2BE-948108EEC57D}" type="TxLink">
            <a:rPr lang="en-US" sz="1600" b="0" i="0" u="none" strike="noStrike">
              <a:solidFill>
                <a:srgbClr val="000000"/>
              </a:solidFill>
              <a:latin typeface="Aptos Narrow"/>
            </a:rPr>
            <a:pPr/>
            <a:t>5.15</a:t>
          </a:fld>
          <a:endParaRPr lang="en-US" sz="1600"/>
        </a:p>
      </xdr:txBody>
    </xdr:sp>
    <xdr:clientData/>
  </xdr:twoCellAnchor>
  <xdr:twoCellAnchor editAs="oneCell">
    <xdr:from>
      <xdr:col>5</xdr:col>
      <xdr:colOff>581025</xdr:colOff>
      <xdr:row>5</xdr:row>
      <xdr:rowOff>57151</xdr:rowOff>
    </xdr:from>
    <xdr:to>
      <xdr:col>6</xdr:col>
      <xdr:colOff>314325</xdr:colOff>
      <xdr:row>6</xdr:row>
      <xdr:rowOff>133350</xdr:rowOff>
    </xdr:to>
    <xdr:pic>
      <xdr:nvPicPr>
        <xdr:cNvPr id="65" name="Graphic 64" descr="User with solid fill">
          <a:extLst>
            <a:ext uri="{FF2B5EF4-FFF2-40B4-BE49-F238E27FC236}">
              <a16:creationId xmlns:a16="http://schemas.microsoft.com/office/drawing/2014/main" id="{3F626CAD-8018-C30D-DE75-86CE72A54AB9}"/>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3629025" y="1009651"/>
          <a:ext cx="342900" cy="266699"/>
        </a:xfrm>
        <a:prstGeom prst="rect">
          <a:avLst/>
        </a:prstGeom>
      </xdr:spPr>
    </xdr:pic>
    <xdr:clientData/>
  </xdr:twoCellAnchor>
  <xdr:twoCellAnchor editAs="oneCell">
    <xdr:from>
      <xdr:col>9</xdr:col>
      <xdr:colOff>352425</xdr:colOff>
      <xdr:row>5</xdr:row>
      <xdr:rowOff>95250</xdr:rowOff>
    </xdr:from>
    <xdr:to>
      <xdr:col>10</xdr:col>
      <xdr:colOff>57150</xdr:colOff>
      <xdr:row>6</xdr:row>
      <xdr:rowOff>104775</xdr:rowOff>
    </xdr:to>
    <xdr:pic>
      <xdr:nvPicPr>
        <xdr:cNvPr id="67" name="Graphic 66" descr="Hourglass Finished with solid fill">
          <a:extLst>
            <a:ext uri="{FF2B5EF4-FFF2-40B4-BE49-F238E27FC236}">
              <a16:creationId xmlns:a16="http://schemas.microsoft.com/office/drawing/2014/main" id="{7778F337-9164-6112-DB14-1F6F58E15A55}"/>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5838825" y="1047750"/>
          <a:ext cx="314325" cy="200025"/>
        </a:xfrm>
        <a:prstGeom prst="rect">
          <a:avLst/>
        </a:prstGeom>
        <a:scene3d>
          <a:camera prst="orthographicFront">
            <a:rot lat="0" lon="0" rev="10799999"/>
          </a:camera>
          <a:lightRig rig="threePt" dir="t"/>
        </a:scene3d>
      </xdr:spPr>
    </xdr:pic>
    <xdr:clientData/>
  </xdr:twoCellAnchor>
  <xdr:twoCellAnchor editAs="oneCell">
    <xdr:from>
      <xdr:col>13</xdr:col>
      <xdr:colOff>190499</xdr:colOff>
      <xdr:row>5</xdr:row>
      <xdr:rowOff>57149</xdr:rowOff>
    </xdr:from>
    <xdr:to>
      <xdr:col>13</xdr:col>
      <xdr:colOff>485775</xdr:colOff>
      <xdr:row>6</xdr:row>
      <xdr:rowOff>161925</xdr:rowOff>
    </xdr:to>
    <xdr:pic>
      <xdr:nvPicPr>
        <xdr:cNvPr id="69" name="Graphic 68" descr="Badge New with solid fill">
          <a:extLst>
            <a:ext uri="{FF2B5EF4-FFF2-40B4-BE49-F238E27FC236}">
              <a16:creationId xmlns:a16="http://schemas.microsoft.com/office/drawing/2014/main" id="{606E4035-FF27-01CA-D247-9246BB2D6BEF}"/>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8115299" y="1009649"/>
          <a:ext cx="295276" cy="295276"/>
        </a:xfrm>
        <a:prstGeom prst="rect">
          <a:avLst/>
        </a:prstGeom>
      </xdr:spPr>
    </xdr:pic>
    <xdr:clientData/>
  </xdr:twoCellAnchor>
  <xdr:twoCellAnchor editAs="oneCell">
    <xdr:from>
      <xdr:col>0</xdr:col>
      <xdr:colOff>180975</xdr:colOff>
      <xdr:row>5</xdr:row>
      <xdr:rowOff>28574</xdr:rowOff>
    </xdr:from>
    <xdr:to>
      <xdr:col>2</xdr:col>
      <xdr:colOff>466725</xdr:colOff>
      <xdr:row>22</xdr:row>
      <xdr:rowOff>57149</xdr:rowOff>
    </xdr:to>
    <mc:AlternateContent xmlns:mc="http://schemas.openxmlformats.org/markup-compatibility/2006" xmlns:a14="http://schemas.microsoft.com/office/drawing/2010/main">
      <mc:Choice Requires="a14">
        <xdr:graphicFrame macro="">
          <xdr:nvGraphicFramePr>
            <xdr:cNvPr id="70" name="Date (Month)">
              <a:extLst>
                <a:ext uri="{FF2B5EF4-FFF2-40B4-BE49-F238E27FC236}">
                  <a16:creationId xmlns:a16="http://schemas.microsoft.com/office/drawing/2014/main" id="{7A6607AE-82C0-4B52-B5DC-88CD754C5B6A}"/>
                </a:ext>
              </a:extLst>
            </xdr:cNvPr>
            <xdr:cNvGraphicFramePr/>
          </xdr:nvGraphicFramePr>
          <xdr:xfrm>
            <a:off x="0" y="0"/>
            <a:ext cx="0" cy="0"/>
          </xdr:xfrm>
          <a:graphic>
            <a:graphicData uri="http://schemas.microsoft.com/office/drawing/2010/slicer">
              <sle:slicer xmlns:sle="http://schemas.microsoft.com/office/drawing/2010/slicer" name="Date (Month)"/>
            </a:graphicData>
          </a:graphic>
        </xdr:graphicFrame>
      </mc:Choice>
      <mc:Fallback xmlns="">
        <xdr:sp macro="" textlink="">
          <xdr:nvSpPr>
            <xdr:cNvPr id="0" name=""/>
            <xdr:cNvSpPr>
              <a:spLocks noTextEdit="1"/>
            </xdr:cNvSpPr>
          </xdr:nvSpPr>
          <xdr:spPr>
            <a:xfrm>
              <a:off x="180975" y="981075"/>
              <a:ext cx="1504950" cy="30861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552451</xdr:colOff>
      <xdr:row>5</xdr:row>
      <xdr:rowOff>95250</xdr:rowOff>
    </xdr:from>
    <xdr:to>
      <xdr:col>6</xdr:col>
      <xdr:colOff>361951</xdr:colOff>
      <xdr:row>10</xdr:row>
      <xdr:rowOff>161926</xdr:rowOff>
    </xdr:to>
    <xdr:graphicFrame macro="">
      <xdr:nvGraphicFramePr>
        <xdr:cNvPr id="71" name="Chart 70">
          <a:hlinkClick xmlns:r="http://schemas.openxmlformats.org/officeDocument/2006/relationships" r:id="rId8"/>
          <a:extLst>
            <a:ext uri="{FF2B5EF4-FFF2-40B4-BE49-F238E27FC236}">
              <a16:creationId xmlns:a16="http://schemas.microsoft.com/office/drawing/2014/main" id="{10F011F8-71B8-4D8D-A4F3-928A0880FAE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7</xdr:col>
      <xdr:colOff>47625</xdr:colOff>
      <xdr:row>9</xdr:row>
      <xdr:rowOff>0</xdr:rowOff>
    </xdr:from>
    <xdr:to>
      <xdr:col>10</xdr:col>
      <xdr:colOff>38100</xdr:colOff>
      <xdr:row>10</xdr:row>
      <xdr:rowOff>142875</xdr:rowOff>
    </xdr:to>
    <xdr:graphicFrame macro="">
      <xdr:nvGraphicFramePr>
        <xdr:cNvPr id="18" name="Chart 17">
          <a:hlinkClick xmlns:r="http://schemas.openxmlformats.org/officeDocument/2006/relationships" r:id="rId10"/>
          <a:extLst>
            <a:ext uri="{FF2B5EF4-FFF2-40B4-BE49-F238E27FC236}">
              <a16:creationId xmlns:a16="http://schemas.microsoft.com/office/drawing/2014/main" id="{B44FBE8D-417A-41F9-B616-82711621F9F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10</xdr:col>
      <xdr:colOff>409575</xdr:colOff>
      <xdr:row>8</xdr:row>
      <xdr:rowOff>180974</xdr:rowOff>
    </xdr:from>
    <xdr:to>
      <xdr:col>13</xdr:col>
      <xdr:colOff>485774</xdr:colOff>
      <xdr:row>10</xdr:row>
      <xdr:rowOff>161919</xdr:rowOff>
    </xdr:to>
    <xdr:graphicFrame macro="">
      <xdr:nvGraphicFramePr>
        <xdr:cNvPr id="20" name="Chart 19">
          <a:hlinkClick xmlns:r="http://schemas.openxmlformats.org/officeDocument/2006/relationships" r:id="rId12"/>
          <a:extLst>
            <a:ext uri="{FF2B5EF4-FFF2-40B4-BE49-F238E27FC236}">
              <a16:creationId xmlns:a16="http://schemas.microsoft.com/office/drawing/2014/main" id="{AA3A369D-FE29-4697-A2BF-5A75F2A33EE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mc:AlternateContent xmlns:mc="http://schemas.openxmlformats.org/markup-compatibility/2006">
    <mc:Choice xmlns:a14="http://schemas.microsoft.com/office/drawing/2010/main" Requires="a14">
      <xdr:twoCellAnchor editAs="oneCell">
        <xdr:from>
          <xdr:col>2</xdr:col>
          <xdr:colOff>561976</xdr:colOff>
          <xdr:row>11</xdr:row>
          <xdr:rowOff>19050</xdr:rowOff>
        </xdr:from>
        <xdr:to>
          <xdr:col>13</xdr:col>
          <xdr:colOff>590550</xdr:colOff>
          <xdr:row>15</xdr:row>
          <xdr:rowOff>66675</xdr:rowOff>
        </xdr:to>
        <xdr:pic>
          <xdr:nvPicPr>
            <xdr:cNvPr id="25" name="Picture 24">
              <a:extLst>
                <a:ext uri="{FF2B5EF4-FFF2-40B4-BE49-F238E27FC236}">
                  <a16:creationId xmlns:a16="http://schemas.microsoft.com/office/drawing/2014/main" id="{A654C947-51AB-7C1E-7787-3C0702E92D91}"/>
                </a:ext>
              </a:extLst>
            </xdr:cNvPr>
            <xdr:cNvPicPr>
              <a:picLocks noChangeAspect="1" noChangeArrowheads="1"/>
              <a:extLst>
                <a:ext uri="{84589F7E-364E-4C9E-8A38-B11213B215E9}">
                  <a14:cameraTool cellRange="'Pivot Report'!$D$44:$G$46" spid="_x0000_s1091"/>
                </a:ext>
              </a:extLst>
            </xdr:cNvPicPr>
          </xdr:nvPicPr>
          <xdr:blipFill>
            <a:blip xmlns:r="http://schemas.openxmlformats.org/officeDocument/2006/relationships" r:embed="rId14"/>
            <a:srcRect/>
            <a:stretch>
              <a:fillRect/>
            </a:stretch>
          </xdr:blipFill>
          <xdr:spPr bwMode="auto">
            <a:xfrm>
              <a:off x="1781176" y="2114550"/>
              <a:ext cx="6734174" cy="809625"/>
            </a:xfrm>
            <a:prstGeom prst="rect">
              <a:avLst/>
            </a:prstGeom>
            <a:noFill/>
            <a:extLst>
              <a:ext uri="{909E8E84-426E-40DD-AFC4-6F175D3DCCD1}">
                <a14:hiddenFill>
                  <a:solidFill>
                    <a:srgbClr val="FFFFFF"/>
                  </a:solidFill>
                </a14:hiddenFill>
              </a:ext>
            </a:extLst>
          </xdr:spPr>
        </xdr:pic>
        <xdr:clientData/>
      </xdr:twoCellAnchor>
    </mc:Choice>
    <mc:Fallback/>
  </mc:AlternateContent>
  <xdr:twoCellAnchor>
    <xdr:from>
      <xdr:col>3</xdr:col>
      <xdr:colOff>9525</xdr:colOff>
      <xdr:row>15</xdr:row>
      <xdr:rowOff>152400</xdr:rowOff>
    </xdr:from>
    <xdr:to>
      <xdr:col>13</xdr:col>
      <xdr:colOff>581025</xdr:colOff>
      <xdr:row>21</xdr:row>
      <xdr:rowOff>123826</xdr:rowOff>
    </xdr:to>
    <xdr:graphicFrame macro="">
      <xdr:nvGraphicFramePr>
        <xdr:cNvPr id="26" name="Chart 25">
          <a:extLst>
            <a:ext uri="{FF2B5EF4-FFF2-40B4-BE49-F238E27FC236}">
              <a16:creationId xmlns:a16="http://schemas.microsoft.com/office/drawing/2014/main" id="{62E43696-DAEF-4801-B434-4464F03317E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absolute">
    <xdr:from>
      <xdr:col>7</xdr:col>
      <xdr:colOff>38100</xdr:colOff>
      <xdr:row>21</xdr:row>
      <xdr:rowOff>38099</xdr:rowOff>
    </xdr:from>
    <xdr:to>
      <xdr:col>9</xdr:col>
      <xdr:colOff>276225</xdr:colOff>
      <xdr:row>22</xdr:row>
      <xdr:rowOff>66675</xdr:rowOff>
    </xdr:to>
    <xdr:sp macro="" textlink="">
      <xdr:nvSpPr>
        <xdr:cNvPr id="27" name="TextBox 26">
          <a:extLst>
            <a:ext uri="{FF2B5EF4-FFF2-40B4-BE49-F238E27FC236}">
              <a16:creationId xmlns:a16="http://schemas.microsoft.com/office/drawing/2014/main" id="{0E1DEDB1-5B2D-FD40-89F6-7B1F2B1C08F1}"/>
            </a:ext>
          </a:extLst>
        </xdr:cNvPr>
        <xdr:cNvSpPr txBox="1"/>
      </xdr:nvSpPr>
      <xdr:spPr>
        <a:xfrm>
          <a:off x="4305300" y="4038599"/>
          <a:ext cx="1457325" cy="2190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No. of patients by age group</a:t>
          </a:r>
        </a:p>
      </xdr:txBody>
    </xdr:sp>
    <xdr:clientData/>
  </xdr:twoCellAnchor>
  <xdr:twoCellAnchor editAs="absolute">
    <xdr:from>
      <xdr:col>14</xdr:col>
      <xdr:colOff>114299</xdr:colOff>
      <xdr:row>1</xdr:row>
      <xdr:rowOff>47626</xdr:rowOff>
    </xdr:from>
    <xdr:to>
      <xdr:col>16</xdr:col>
      <xdr:colOff>447675</xdr:colOff>
      <xdr:row>9</xdr:row>
      <xdr:rowOff>76200</xdr:rowOff>
    </xdr:to>
    <xdr:graphicFrame macro="">
      <xdr:nvGraphicFramePr>
        <xdr:cNvPr id="28" name="Chart 27">
          <a:extLst>
            <a:ext uri="{FF2B5EF4-FFF2-40B4-BE49-F238E27FC236}">
              <a16:creationId xmlns:a16="http://schemas.microsoft.com/office/drawing/2014/main" id="{CEEB2195-C91F-4AEA-9BFA-DC3FFD6815F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editAs="absolute">
    <xdr:from>
      <xdr:col>14</xdr:col>
      <xdr:colOff>238125</xdr:colOff>
      <xdr:row>9</xdr:row>
      <xdr:rowOff>47625</xdr:rowOff>
    </xdr:from>
    <xdr:to>
      <xdr:col>16</xdr:col>
      <xdr:colOff>542925</xdr:colOff>
      <xdr:row>10</xdr:row>
      <xdr:rowOff>76200</xdr:rowOff>
    </xdr:to>
    <xdr:sp macro="" textlink="">
      <xdr:nvSpPr>
        <xdr:cNvPr id="29" name="TextBox 28">
          <a:extLst>
            <a:ext uri="{FF2B5EF4-FFF2-40B4-BE49-F238E27FC236}">
              <a16:creationId xmlns:a16="http://schemas.microsoft.com/office/drawing/2014/main" id="{B5BA5C1F-76E0-D380-94FF-268C057CC9ED}"/>
            </a:ext>
          </a:extLst>
        </xdr:cNvPr>
        <xdr:cNvSpPr txBox="1"/>
      </xdr:nvSpPr>
      <xdr:spPr>
        <a:xfrm>
          <a:off x="8772525" y="1762125"/>
          <a:ext cx="1524000" cy="219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a:t>Patient Attend Status</a:t>
          </a:r>
        </a:p>
      </xdr:txBody>
    </xdr:sp>
    <xdr:clientData/>
  </xdr:twoCellAnchor>
  <xdr:twoCellAnchor editAs="absolute">
    <xdr:from>
      <xdr:col>17</xdr:col>
      <xdr:colOff>304799</xdr:colOff>
      <xdr:row>1</xdr:row>
      <xdr:rowOff>66675</xdr:rowOff>
    </xdr:from>
    <xdr:to>
      <xdr:col>20</xdr:col>
      <xdr:colOff>152400</xdr:colOff>
      <xdr:row>10</xdr:row>
      <xdr:rowOff>66675</xdr:rowOff>
    </xdr:to>
    <xdr:graphicFrame macro="">
      <xdr:nvGraphicFramePr>
        <xdr:cNvPr id="30" name="Chart 29">
          <a:extLst>
            <a:ext uri="{FF2B5EF4-FFF2-40B4-BE49-F238E27FC236}">
              <a16:creationId xmlns:a16="http://schemas.microsoft.com/office/drawing/2014/main" id="{DE708D45-0EA7-42D6-9F7B-EEBE073C3D2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editAs="absolute">
    <xdr:from>
      <xdr:col>17</xdr:col>
      <xdr:colOff>390525</xdr:colOff>
      <xdr:row>9</xdr:row>
      <xdr:rowOff>66675</xdr:rowOff>
    </xdr:from>
    <xdr:to>
      <xdr:col>20</xdr:col>
      <xdr:colOff>47625</xdr:colOff>
      <xdr:row>10</xdr:row>
      <xdr:rowOff>180975</xdr:rowOff>
    </xdr:to>
    <xdr:sp macro="" textlink="">
      <xdr:nvSpPr>
        <xdr:cNvPr id="31" name="TextBox 30">
          <a:extLst>
            <a:ext uri="{FF2B5EF4-FFF2-40B4-BE49-F238E27FC236}">
              <a16:creationId xmlns:a16="http://schemas.microsoft.com/office/drawing/2014/main" id="{DAD66E67-8401-E49E-5B1C-0CF1AD0A995E}"/>
            </a:ext>
          </a:extLst>
        </xdr:cNvPr>
        <xdr:cNvSpPr txBox="1"/>
      </xdr:nvSpPr>
      <xdr:spPr>
        <a:xfrm>
          <a:off x="10753725" y="1781175"/>
          <a:ext cx="1485900"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a:t>Gender wise Analysis</a:t>
          </a:r>
        </a:p>
      </xdr:txBody>
    </xdr:sp>
    <xdr:clientData/>
  </xdr:twoCellAnchor>
  <xdr:twoCellAnchor>
    <xdr:from>
      <xdr:col>14</xdr:col>
      <xdr:colOff>142875</xdr:colOff>
      <xdr:row>12</xdr:row>
      <xdr:rowOff>28574</xdr:rowOff>
    </xdr:from>
    <xdr:to>
      <xdr:col>20</xdr:col>
      <xdr:colOff>104774</xdr:colOff>
      <xdr:row>22</xdr:row>
      <xdr:rowOff>66675</xdr:rowOff>
    </xdr:to>
    <xdr:graphicFrame macro="">
      <xdr:nvGraphicFramePr>
        <xdr:cNvPr id="32" name="Chart 31">
          <a:extLst>
            <a:ext uri="{FF2B5EF4-FFF2-40B4-BE49-F238E27FC236}">
              <a16:creationId xmlns:a16="http://schemas.microsoft.com/office/drawing/2014/main" id="{4FBDC162-6EB1-4DD9-99BD-8D6D852972A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editAs="absolute">
    <xdr:from>
      <xdr:col>8</xdr:col>
      <xdr:colOff>238125</xdr:colOff>
      <xdr:row>0</xdr:row>
      <xdr:rowOff>161925</xdr:rowOff>
    </xdr:from>
    <xdr:to>
      <xdr:col>13</xdr:col>
      <xdr:colOff>514350</xdr:colOff>
      <xdr:row>4</xdr:row>
      <xdr:rowOff>161925</xdr:rowOff>
    </xdr:to>
    <mc:AlternateContent xmlns:mc="http://schemas.openxmlformats.org/markup-compatibility/2006" xmlns:a14="http://schemas.microsoft.com/office/drawing/2010/main">
      <mc:Choice Requires="a14">
        <xdr:graphicFrame macro="">
          <xdr:nvGraphicFramePr>
            <xdr:cNvPr id="34" name="Date (Year)">
              <a:extLst>
                <a:ext uri="{FF2B5EF4-FFF2-40B4-BE49-F238E27FC236}">
                  <a16:creationId xmlns:a16="http://schemas.microsoft.com/office/drawing/2014/main" id="{22065377-375F-4780-9991-B857D593628C}"/>
                </a:ext>
              </a:extLst>
            </xdr:cNvPr>
            <xdr:cNvGraphicFramePr/>
          </xdr:nvGraphicFramePr>
          <xdr:xfrm>
            <a:off x="0" y="0"/>
            <a:ext cx="0" cy="0"/>
          </xdr:xfrm>
          <a:graphic>
            <a:graphicData uri="http://schemas.microsoft.com/office/drawing/2010/slicer">
              <sle:slicer xmlns:sle="http://schemas.microsoft.com/office/drawing/2010/slicer" name="Date (Year)"/>
            </a:graphicData>
          </a:graphic>
        </xdr:graphicFrame>
      </mc:Choice>
      <mc:Fallback xmlns="">
        <xdr:sp macro="" textlink="">
          <xdr:nvSpPr>
            <xdr:cNvPr id="0" name=""/>
            <xdr:cNvSpPr>
              <a:spLocks noTextEdit="1"/>
            </xdr:cNvSpPr>
          </xdr:nvSpPr>
          <xdr:spPr>
            <a:xfrm>
              <a:off x="5114926" y="161925"/>
              <a:ext cx="3257550" cy="762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c:userShapes xmlns:c="http://schemas.openxmlformats.org/drawingml/2006/chart">
  <cdr:relSizeAnchor xmlns:cdr="http://schemas.openxmlformats.org/drawingml/2006/chartDrawing">
    <cdr:from>
      <cdr:x>0.08158</cdr:x>
      <cdr:y>0.83824</cdr:y>
    </cdr:from>
    <cdr:to>
      <cdr:x>0.94737</cdr:x>
      <cdr:y>0.97059</cdr:y>
    </cdr:to>
    <cdr:sp macro="" textlink="">
      <cdr:nvSpPr>
        <cdr:cNvPr id="2" name="TextBox 1">
          <a:extLst xmlns:a="http://schemas.openxmlformats.org/drawingml/2006/main">
            <a:ext uri="{FF2B5EF4-FFF2-40B4-BE49-F238E27FC236}">
              <a16:creationId xmlns:a16="http://schemas.microsoft.com/office/drawing/2014/main" id="{EB379F9F-BC3E-71B1-36E9-7ABAA6E4DBA6}"/>
            </a:ext>
          </a:extLst>
        </cdr:cNvPr>
        <cdr:cNvSpPr txBox="1"/>
      </cdr:nvSpPr>
      <cdr:spPr>
        <a:xfrm xmlns:a="http://schemas.openxmlformats.org/drawingml/2006/main">
          <a:off x="295275" y="1628776"/>
          <a:ext cx="3133725" cy="257175"/>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US" sz="1100" kern="1200"/>
        </a:p>
      </cdr:txBody>
    </cdr:sp>
  </cdr:relSizeAnchor>
  <cdr:relSizeAnchor xmlns:cdr="http://schemas.openxmlformats.org/drawingml/2006/chartDrawing">
    <cdr:from>
      <cdr:x>0.06579</cdr:x>
      <cdr:y>0.83333</cdr:y>
    </cdr:from>
    <cdr:to>
      <cdr:x>0.94474</cdr:x>
      <cdr:y>0.96569</cdr:y>
    </cdr:to>
    <cdr:sp macro="" textlink="">
      <cdr:nvSpPr>
        <cdr:cNvPr id="3" name="TextBox 2">
          <a:extLst xmlns:a="http://schemas.openxmlformats.org/drawingml/2006/main">
            <a:ext uri="{FF2B5EF4-FFF2-40B4-BE49-F238E27FC236}">
              <a16:creationId xmlns:a16="http://schemas.microsoft.com/office/drawing/2014/main" id="{7123022F-ACCF-4D35-45E7-B2626D3E8512}"/>
            </a:ext>
          </a:extLst>
        </cdr:cNvPr>
        <cdr:cNvSpPr txBox="1"/>
      </cdr:nvSpPr>
      <cdr:spPr>
        <a:xfrm xmlns:a="http://schemas.openxmlformats.org/drawingml/2006/main">
          <a:off x="238125" y="1619251"/>
          <a:ext cx="3181350" cy="257175"/>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US" sz="1100" kern="1200"/>
        </a:p>
      </cdr:txBody>
    </cdr:sp>
  </cdr:relSizeAnchor>
  <cdr:relSizeAnchor xmlns:cdr="http://schemas.openxmlformats.org/drawingml/2006/chartDrawing">
    <cdr:from>
      <cdr:x>0.15526</cdr:x>
      <cdr:y>0.85294</cdr:y>
    </cdr:from>
    <cdr:to>
      <cdr:x>0.88421</cdr:x>
      <cdr:y>1</cdr:y>
    </cdr:to>
    <cdr:sp macro="" textlink="">
      <cdr:nvSpPr>
        <cdr:cNvPr id="4" name="TextBox 3">
          <a:extLst xmlns:a="http://schemas.openxmlformats.org/drawingml/2006/main">
            <a:ext uri="{FF2B5EF4-FFF2-40B4-BE49-F238E27FC236}">
              <a16:creationId xmlns:a16="http://schemas.microsoft.com/office/drawing/2014/main" id="{B2536B5E-50F9-5D62-7095-4A1A37615F9B}"/>
            </a:ext>
          </a:extLst>
        </cdr:cNvPr>
        <cdr:cNvSpPr txBox="1"/>
      </cdr:nvSpPr>
      <cdr:spPr>
        <a:xfrm xmlns:a="http://schemas.openxmlformats.org/drawingml/2006/main">
          <a:off x="561976" y="1657351"/>
          <a:ext cx="2638424" cy="28575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US" sz="1100" kern="1200"/>
            <a:t> </a:t>
          </a:r>
          <a:r>
            <a:rPr lang="en-US" sz="1200" kern="1200" baseline="0"/>
            <a:t>No. of Patients by Departmental Referal</a:t>
          </a:r>
          <a:endParaRPr lang="en-US" sz="1200" kern="1200"/>
        </a:p>
      </cdr:txBody>
    </cdr:sp>
  </cdr:relSizeAnchor>
</c:userShapes>
</file>

<file path=xl/drawings/drawing3.xml><?xml version="1.0" encoding="utf-8"?>
<xdr:wsDr xmlns:xdr="http://schemas.openxmlformats.org/drawingml/2006/spreadsheetDrawing" xmlns:a="http://schemas.openxmlformats.org/drawingml/2006/main">
  <xdr:twoCellAnchor>
    <xdr:from>
      <xdr:col>7</xdr:col>
      <xdr:colOff>723900</xdr:colOff>
      <xdr:row>44</xdr:row>
      <xdr:rowOff>57149</xdr:rowOff>
    </xdr:from>
    <xdr:to>
      <xdr:col>11</xdr:col>
      <xdr:colOff>409575</xdr:colOff>
      <xdr:row>56</xdr:row>
      <xdr:rowOff>104774</xdr:rowOff>
    </xdr:to>
    <xdr:graphicFrame macro="">
      <xdr:nvGraphicFramePr>
        <xdr:cNvPr id="4" name="Chart 3">
          <a:extLst>
            <a:ext uri="{FF2B5EF4-FFF2-40B4-BE49-F238E27FC236}">
              <a16:creationId xmlns:a16="http://schemas.microsoft.com/office/drawing/2014/main" id="{33FD7280-9999-FDAA-DE4C-78CA75A487F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absolute">
    <xdr:from>
      <xdr:col>0</xdr:col>
      <xdr:colOff>600074</xdr:colOff>
      <xdr:row>1</xdr:row>
      <xdr:rowOff>38100</xdr:rowOff>
    </xdr:from>
    <xdr:to>
      <xdr:col>15</xdr:col>
      <xdr:colOff>171449</xdr:colOff>
      <xdr:row>19</xdr:row>
      <xdr:rowOff>66675</xdr:rowOff>
    </xdr:to>
    <xdr:graphicFrame macro="">
      <xdr:nvGraphicFramePr>
        <xdr:cNvPr id="2" name="Chart 1">
          <a:extLst>
            <a:ext uri="{FF2B5EF4-FFF2-40B4-BE49-F238E27FC236}">
              <a16:creationId xmlns:a16="http://schemas.microsoft.com/office/drawing/2014/main" id="{0268A50C-33EC-4828-9D1C-A7E56AF414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180975</xdr:colOff>
      <xdr:row>17</xdr:row>
      <xdr:rowOff>161925</xdr:rowOff>
    </xdr:from>
    <xdr:to>
      <xdr:col>11</xdr:col>
      <xdr:colOff>552450</xdr:colOff>
      <xdr:row>19</xdr:row>
      <xdr:rowOff>38100</xdr:rowOff>
    </xdr:to>
    <xdr:sp macro="" textlink="">
      <xdr:nvSpPr>
        <xdr:cNvPr id="3" name="TextBox 2">
          <a:extLst>
            <a:ext uri="{FF2B5EF4-FFF2-40B4-BE49-F238E27FC236}">
              <a16:creationId xmlns:a16="http://schemas.microsoft.com/office/drawing/2014/main" id="{FDD1ABA3-02D7-BBC7-AB97-E1BCB410F2DB}"/>
            </a:ext>
          </a:extLst>
        </xdr:cNvPr>
        <xdr:cNvSpPr txBox="1"/>
      </xdr:nvSpPr>
      <xdr:spPr>
        <a:xfrm>
          <a:off x="1400175" y="3400425"/>
          <a:ext cx="5857875" cy="2571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a:t>Showing a Daily Trend with an area sparkline to spot patterns like busy days or seasonal trends</a:t>
          </a:r>
        </a:p>
      </xdr:txBody>
    </xdr:sp>
    <xdr:clientData/>
  </xdr:twoCellAnchor>
  <xdr:twoCellAnchor editAs="oneCell">
    <xdr:from>
      <xdr:col>1</xdr:col>
      <xdr:colOff>38100</xdr:colOff>
      <xdr:row>1</xdr:row>
      <xdr:rowOff>28575</xdr:rowOff>
    </xdr:from>
    <xdr:to>
      <xdr:col>1</xdr:col>
      <xdr:colOff>523875</xdr:colOff>
      <xdr:row>3</xdr:row>
      <xdr:rowOff>133350</xdr:rowOff>
    </xdr:to>
    <xdr:pic>
      <xdr:nvPicPr>
        <xdr:cNvPr id="5" name="Graphic 4" descr="Home with solid fill">
          <a:hlinkClick xmlns:r="http://schemas.openxmlformats.org/officeDocument/2006/relationships" r:id="rId2"/>
          <a:extLst>
            <a:ext uri="{FF2B5EF4-FFF2-40B4-BE49-F238E27FC236}">
              <a16:creationId xmlns:a16="http://schemas.microsoft.com/office/drawing/2014/main" id="{CDFA0A87-0E54-6801-468D-8E8BB63BE90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647700" y="219075"/>
          <a:ext cx="485775" cy="485775"/>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0</xdr:col>
      <xdr:colOff>533400</xdr:colOff>
      <xdr:row>1</xdr:row>
      <xdr:rowOff>104775</xdr:rowOff>
    </xdr:from>
    <xdr:to>
      <xdr:col>15</xdr:col>
      <xdr:colOff>209550</xdr:colOff>
      <xdr:row>18</xdr:row>
      <xdr:rowOff>0</xdr:rowOff>
    </xdr:to>
    <xdr:graphicFrame macro="">
      <xdr:nvGraphicFramePr>
        <xdr:cNvPr id="2" name="Chart 1">
          <a:extLst>
            <a:ext uri="{FF2B5EF4-FFF2-40B4-BE49-F238E27FC236}">
              <a16:creationId xmlns:a16="http://schemas.microsoft.com/office/drawing/2014/main" id="{66E48E97-4E01-4E68-887C-AD1379AE616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228599</xdr:colOff>
      <xdr:row>18</xdr:row>
      <xdr:rowOff>19050</xdr:rowOff>
    </xdr:from>
    <xdr:to>
      <xdr:col>13</xdr:col>
      <xdr:colOff>209550</xdr:colOff>
      <xdr:row>19</xdr:row>
      <xdr:rowOff>95250</xdr:rowOff>
    </xdr:to>
    <xdr:sp macro="" textlink="">
      <xdr:nvSpPr>
        <xdr:cNvPr id="3" name="TextBox 2">
          <a:extLst>
            <a:ext uri="{FF2B5EF4-FFF2-40B4-BE49-F238E27FC236}">
              <a16:creationId xmlns:a16="http://schemas.microsoft.com/office/drawing/2014/main" id="{50120FDB-A6FE-70A8-CAB4-3B3E809392EC}"/>
            </a:ext>
          </a:extLst>
        </xdr:cNvPr>
        <xdr:cNvSpPr txBox="1"/>
      </xdr:nvSpPr>
      <xdr:spPr>
        <a:xfrm>
          <a:off x="2057399" y="3448050"/>
          <a:ext cx="6076951" cy="266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Area</a:t>
          </a:r>
          <a:r>
            <a:rPr lang="en-US" sz="1100" baseline="0"/>
            <a:t> chart to track daily changes and highlight days with longer wait times that might need improvements.</a:t>
          </a:r>
          <a:endParaRPr lang="en-US" sz="1100"/>
        </a:p>
      </xdr:txBody>
    </xdr:sp>
    <xdr:clientData/>
  </xdr:twoCellAnchor>
</xdr:wsDr>
</file>

<file path=xl/drawings/drawing6.xml><?xml version="1.0" encoding="utf-8"?>
<c:userShapes xmlns:c="http://schemas.openxmlformats.org/drawingml/2006/chart">
  <cdr:relSizeAnchor xmlns:cdr="http://schemas.openxmlformats.org/drawingml/2006/chartDrawing">
    <cdr:from>
      <cdr:x>1.13377E-7</cdr:x>
      <cdr:y>3.19109E-7</cdr:y>
    </cdr:from>
    <cdr:to>
      <cdr:x>0.0594</cdr:x>
      <cdr:y>0.16717</cdr:y>
    </cdr:to>
    <cdr:pic>
      <cdr:nvPicPr>
        <cdr:cNvPr id="3" name="Graphic 2" descr="Home with solid fill">
          <a:hlinkClick xmlns:a="http://schemas.openxmlformats.org/drawingml/2006/main" xmlns:r="http://schemas.openxmlformats.org/officeDocument/2006/relationships" r:id="rId1"/>
          <a:extLst xmlns:a="http://schemas.openxmlformats.org/drawingml/2006/main">
            <a:ext uri="{FF2B5EF4-FFF2-40B4-BE49-F238E27FC236}">
              <a16:creationId xmlns:a16="http://schemas.microsoft.com/office/drawing/2014/main" id="{C8456BE3-66FE-AA4F-CA05-FCFD4D7A4C5D}"/>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2">
          <a:extLst>
            <a:ext uri="{96DAC541-7B7A-43D3-8B79-37D633B846F1}">
              <asvg:svgBlip xmlns:asvg="http://schemas.microsoft.com/office/drawing/2016/SVG/main" r:embed="rId3"/>
            </a:ext>
          </a:extLst>
        </a:blip>
        <a:stretch xmlns:a="http://schemas.openxmlformats.org/drawingml/2006/main">
          <a:fillRect/>
        </a:stretch>
      </cdr:blipFill>
      <cdr:spPr>
        <a:xfrm xmlns:a="http://schemas.openxmlformats.org/drawingml/2006/main">
          <a:off x="1" y="1"/>
          <a:ext cx="523874" cy="523874"/>
        </a:xfrm>
        <a:prstGeom xmlns:a="http://schemas.openxmlformats.org/drawingml/2006/main" prst="rect">
          <a:avLst/>
        </a:prstGeom>
      </cdr:spPr>
    </cdr:pic>
  </cdr:relSizeAnchor>
</c:userShapes>
</file>

<file path=xl/drawings/drawing7.xml><?xml version="1.0" encoding="utf-8"?>
<xdr:wsDr xmlns:xdr="http://schemas.openxmlformats.org/drawingml/2006/spreadsheetDrawing" xmlns:a="http://schemas.openxmlformats.org/drawingml/2006/main">
  <xdr:twoCellAnchor>
    <xdr:from>
      <xdr:col>0</xdr:col>
      <xdr:colOff>523875</xdr:colOff>
      <xdr:row>1</xdr:row>
      <xdr:rowOff>9525</xdr:rowOff>
    </xdr:from>
    <xdr:to>
      <xdr:col>19</xdr:col>
      <xdr:colOff>142875</xdr:colOff>
      <xdr:row>20</xdr:row>
      <xdr:rowOff>57150</xdr:rowOff>
    </xdr:to>
    <xdr:graphicFrame macro="">
      <xdr:nvGraphicFramePr>
        <xdr:cNvPr id="2" name="Chart 1">
          <a:extLst>
            <a:ext uri="{FF2B5EF4-FFF2-40B4-BE49-F238E27FC236}">
              <a16:creationId xmlns:a16="http://schemas.microsoft.com/office/drawing/2014/main" id="{0B4BFC67-E598-4CCD-B5E4-8F8E80C933E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381000</xdr:colOff>
      <xdr:row>20</xdr:row>
      <xdr:rowOff>171450</xdr:rowOff>
    </xdr:from>
    <xdr:to>
      <xdr:col>15</xdr:col>
      <xdr:colOff>200025</xdr:colOff>
      <xdr:row>22</xdr:row>
      <xdr:rowOff>114300</xdr:rowOff>
    </xdr:to>
    <xdr:sp macro="" textlink="">
      <xdr:nvSpPr>
        <xdr:cNvPr id="3" name="TextBox 2">
          <a:extLst>
            <a:ext uri="{FF2B5EF4-FFF2-40B4-BE49-F238E27FC236}">
              <a16:creationId xmlns:a16="http://schemas.microsoft.com/office/drawing/2014/main" id="{500E0B39-12D4-12C3-86D6-2BB4CB85BC5C}"/>
            </a:ext>
          </a:extLst>
        </xdr:cNvPr>
        <xdr:cNvSpPr txBox="1"/>
      </xdr:nvSpPr>
      <xdr:spPr>
        <a:xfrm>
          <a:off x="3429000" y="3981450"/>
          <a:ext cx="5915025" cy="3238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Use an area Chart to show trends,</a:t>
          </a:r>
          <a:r>
            <a:rPr lang="en-US" sz="1100" baseline="0"/>
            <a:t> spot drops in satisfaction, and link them to busy times or challenges</a:t>
          </a:r>
          <a:endParaRPr lang="en-US" sz="1100"/>
        </a:p>
      </xdr:txBody>
    </xdr:sp>
    <xdr:clientData/>
  </xdr:twoCellAnchor>
</xdr:wsDr>
</file>

<file path=xl/drawings/drawing8.xml><?xml version="1.0" encoding="utf-8"?>
<c:userShapes xmlns:c="http://schemas.openxmlformats.org/drawingml/2006/chart">
  <cdr:relSizeAnchor xmlns:cdr="http://schemas.openxmlformats.org/drawingml/2006/chartDrawing">
    <cdr:from>
      <cdr:x>8.92746E-8</cdr:x>
      <cdr:y>0</cdr:y>
    </cdr:from>
    <cdr:to>
      <cdr:x>0.04592</cdr:x>
      <cdr:y>0.10649</cdr:y>
    </cdr:to>
    <cdr:pic>
      <cdr:nvPicPr>
        <cdr:cNvPr id="3" name="Graphic 2" descr="Home with solid fill">
          <a:hlinkClick xmlns:a="http://schemas.openxmlformats.org/drawingml/2006/main" xmlns:r="http://schemas.openxmlformats.org/officeDocument/2006/relationships" r:id="rId1"/>
          <a:extLst xmlns:a="http://schemas.openxmlformats.org/drawingml/2006/main">
            <a:ext uri="{FF2B5EF4-FFF2-40B4-BE49-F238E27FC236}">
              <a16:creationId xmlns:a16="http://schemas.microsoft.com/office/drawing/2014/main" id="{A114F11D-2001-621A-3611-BFA1F6260FEC}"/>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2">
          <a:extLst>
            <a:ext uri="{96DAC541-7B7A-43D3-8B79-37D633B846F1}">
              <asvg:svgBlip xmlns:asvg="http://schemas.microsoft.com/office/drawing/2016/SVG/main" r:embed="rId3"/>
            </a:ext>
          </a:extLst>
        </a:blip>
        <a:stretch xmlns:a="http://schemas.openxmlformats.org/drawingml/2006/main">
          <a:fillRect/>
        </a:stretch>
      </cdr:blipFill>
      <cdr:spPr>
        <a:xfrm xmlns:a="http://schemas.openxmlformats.org/drawingml/2006/main">
          <a:off x="1" y="0"/>
          <a:ext cx="514350" cy="390525"/>
        </a:xfrm>
        <a:prstGeom xmlns:a="http://schemas.openxmlformats.org/drawingml/2006/main" prst="rect">
          <a:avLst/>
        </a:prstGeom>
      </cdr:spPr>
    </cdr:pic>
  </cdr:relSizeAnchor>
</c:userShape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pin kumar pandey" refreshedDate="45954.031711342592" backgroundQuery="1" createdVersion="8" refreshedVersion="8" minRefreshableVersion="3" recordCount="0" supportSubquery="1" supportAdvancedDrill="1" xr:uid="{F56AE0F4-BC39-4487-873D-C27CAC146DE6}">
  <cacheSource type="external" connectionId="3"/>
  <cacheFields count="4">
    <cacheField name="[Calendar_Table].[Date].[Date]" caption="Date" numFmtId="0" level="1">
      <sharedItems containsSemiMixedTypes="0" containsNonDate="0" containsDate="1" containsString="0" minDate="2024-05-01T00:00:00" maxDate="2024-06-01T00:00:00" count="31">
        <d v="2024-05-01T00:00:00"/>
        <d v="2024-05-02T00:00:00"/>
        <d v="2024-05-03T00:00:00"/>
        <d v="2024-05-04T00:00:00"/>
        <d v="2024-05-05T00:00:00"/>
        <d v="2024-05-06T00:00:00"/>
        <d v="2024-05-07T00:00:00"/>
        <d v="2024-05-08T00:00:00"/>
        <d v="2024-05-09T00:00:00"/>
        <d v="2024-05-10T00:00:00"/>
        <d v="2024-05-11T00:00:00"/>
        <d v="2024-05-12T00:00:00"/>
        <d v="2024-05-13T00:00:00"/>
        <d v="2024-05-14T00:00:00"/>
        <d v="2024-05-15T00:00:00"/>
        <d v="2024-05-16T00:00:00"/>
        <d v="2024-05-17T00:00:00"/>
        <d v="2024-05-18T00:00:00"/>
        <d v="2024-05-19T00:00:00"/>
        <d v="2024-05-20T00:00:00"/>
        <d v="2024-05-21T00:00:00"/>
        <d v="2024-05-22T00:00:00"/>
        <d v="2024-05-23T00:00:00"/>
        <d v="2024-05-24T00:00:00"/>
        <d v="2024-05-25T00:00:00"/>
        <d v="2024-05-26T00:00:00"/>
        <d v="2024-05-27T00:00:00"/>
        <d v="2024-05-28T00:00:00"/>
        <d v="2024-05-29T00:00:00"/>
        <d v="2024-05-30T00:00:00"/>
        <d v="2024-05-31T00:00:00"/>
      </sharedItems>
    </cacheField>
    <cacheField name="[Calendar_Table].[Date (Month)].[Date (Month)]" caption="Date (Month)" numFmtId="0" hierarchy="1" level="1">
      <sharedItems containsSemiMixedTypes="0" containsNonDate="0" containsString="0"/>
    </cacheField>
    <cacheField name="[Measures].[Average of Patient Waittime]" caption="Average of Patient Waittime" numFmtId="0" hierarchy="27" level="32767"/>
    <cacheField name="[Calendar_Table].[Date (Year)].[Date (Year)]" caption="Date (Year)" numFmtId="0" hierarchy="3" level="1">
      <sharedItems containsSemiMixedTypes="0" containsNonDate="0" containsString="0"/>
    </cacheField>
  </cacheFields>
  <cacheHierarchies count="35">
    <cacheHierarchy uniqueName="[Calendar_Table].[Date]" caption="Date" attribute="1" time="1" defaultMemberUniqueName="[Calendar_Table].[Date].[All]" allUniqueName="[Calendar_Table].[Date].[All]" dimensionUniqueName="[Calendar_Table]" displayFolder="" count="2" memberValueDatatype="7" unbalanced="0">
      <fieldsUsage count="2">
        <fieldUsage x="-1"/>
        <fieldUsage x="0"/>
      </fieldsUsage>
    </cacheHierarchy>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1"/>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Calendar_Table].[Date (Year)]" caption="Date (Year)" attribute="1" defaultMemberUniqueName="[Calendar_Table].[Date (Year)].[All]" allUniqueName="[Calendar_Table].[Date (Year)].[All]" dimensionUniqueName="[Calendar_Table]" displayFolder="" count="2" memberValueDatatype="130" unbalanced="0">
      <fieldsUsage count="2">
        <fieldUsage x="-1"/>
        <fieldUsage x="3"/>
      </fieldsUsage>
    </cacheHierarchy>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Patient Admission Date.3]" caption="Patient Admission Date.3" attribute="1" defaultMemberUniqueName="[Hospital Emergency Room Data].[Patient Admission Date.3].[All]" allUniqueName="[Hospital Emergency Room Data].[Patient Admission Date.3].[All]" dimensionUniqueName="[Hospital Emergency Room Data]" displayFolder="" count="0" memberValueDatatype="130"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Average of Patient Waittime]" caption="Average of Patient Waittime" measure="1" displayFolder="" measureGroup="Hospital Emergency Room Data" count="0" oneField="1" hidden="1">
      <fieldsUsage count="1">
        <fieldUsage x="2"/>
      </fieldsUsage>
      <extLst>
        <ext xmlns:x15="http://schemas.microsoft.com/office/spreadsheetml/2010/11/main" uri="{B97F6D7D-B522-45F9-BDA1-12C45D357490}">
          <x15:cacheHierarchy aggregatedColumn="16"/>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8"/>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3"/>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pin kumar pandey" refreshedDate="45954.0317125" backgroundQuery="1" createdVersion="8" refreshedVersion="8" minRefreshableVersion="3" recordCount="0" supportSubquery="1" supportAdvancedDrill="1" xr:uid="{05F4E3EB-A08A-4CE7-9AD3-046D72D3AF35}">
  <cacheSource type="external" connectionId="3"/>
  <cacheFields count="3">
    <cacheField name="[Measures].[Distinct Count of Patient Id]" caption="Distinct Count of Patient Id" numFmtId="0" hierarchy="25" level="32767"/>
    <cacheField name="[Calendar_Table].[Date (Month)].[Date (Month)]" caption="Date (Month)" numFmtId="0" hierarchy="1" level="1">
      <sharedItems containsSemiMixedTypes="0" containsNonDate="0" containsString="0"/>
    </cacheField>
    <cacheField name="[Calendar_Table].[Date (Year)].[Date (Year)]" caption="Date (Year)" numFmtId="0" hierarchy="3" level="1">
      <sharedItems containsSemiMixedTypes="0" containsNonDate="0" containsString="0"/>
    </cacheField>
  </cacheFields>
  <cacheHierarchies count="35">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1"/>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Calendar_Table].[Date (Year)]" caption="Date (Year)" attribute="1" defaultMemberUniqueName="[Calendar_Table].[Date (Year)].[All]" allUniqueName="[Calendar_Table].[Date (Year)].[All]" dimensionUniqueName="[Calendar_Table]" displayFolder="" count="2" memberValueDatatype="130" unbalanced="0">
      <fieldsUsage count="2">
        <fieldUsage x="-1"/>
        <fieldUsage x="2"/>
      </fieldsUsage>
    </cacheHierarchy>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Patient Admission Date.3]" caption="Patient Admission Date.3" attribute="1" defaultMemberUniqueName="[Hospital Emergency Room Data].[Patient Admission Date.3].[All]" allUniqueName="[Hospital Emergency Room Data].[Patient Admission Date.3].[All]" dimensionUniqueName="[Hospital Emergency Room Data]" displayFolder="" count="0" memberValueDatatype="130"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oneField="1" hidden="1">
      <fieldsUsage count="1">
        <fieldUsage x="0"/>
      </fieldsUsage>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8"/>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3"/>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pin kumar pandey" refreshedDate="45954.031714930556" backgroundQuery="1" createdVersion="8" refreshedVersion="8" minRefreshableVersion="3" recordCount="0" supportSubquery="1" supportAdvancedDrill="1" xr:uid="{54868926-625D-4ACA-841C-124FB455649E}">
  <cacheSource type="external" connectionId="3"/>
  <cacheFields count="3">
    <cacheField name="[Measures].[Average of Patient Waittime]" caption="Average of Patient Waittime" numFmtId="0" hierarchy="27" level="32767"/>
    <cacheField name="[Calendar_Table].[Date (Month)].[Date (Month)]" caption="Date (Month)" numFmtId="0" hierarchy="1" level="1">
      <sharedItems containsSemiMixedTypes="0" containsNonDate="0" containsString="0"/>
    </cacheField>
    <cacheField name="[Calendar_Table].[Date (Year)].[Date (Year)]" caption="Date (Year)" numFmtId="0" hierarchy="3" level="1">
      <sharedItems containsSemiMixedTypes="0" containsNonDate="0" containsString="0"/>
    </cacheField>
  </cacheFields>
  <cacheHierarchies count="35">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1"/>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Calendar_Table].[Date (Year)]" caption="Date (Year)" attribute="1" defaultMemberUniqueName="[Calendar_Table].[Date (Year)].[All]" allUniqueName="[Calendar_Table].[Date (Year)].[All]" dimensionUniqueName="[Calendar_Table]" displayFolder="" count="2" memberValueDatatype="130" unbalanced="0">
      <fieldsUsage count="2">
        <fieldUsage x="-1"/>
        <fieldUsage x="2"/>
      </fieldsUsage>
    </cacheHierarchy>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Patient Admission Date.3]" caption="Patient Admission Date.3" attribute="1" defaultMemberUniqueName="[Hospital Emergency Room Data].[Patient Admission Date.3].[All]" allUniqueName="[Hospital Emergency Room Data].[Patient Admission Date.3].[All]" dimensionUniqueName="[Hospital Emergency Room Data]" displayFolder="" count="0" memberValueDatatype="130"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Average of Patient Waittime]" caption="Average of Patient Waittime" measure="1" displayFolder="" measureGroup="Hospital Emergency Room Data" count="0" oneField="1" hidden="1">
      <fieldsUsage count="1">
        <fieldUsage x="0"/>
      </fieldsUsage>
      <extLst>
        <ext xmlns:x15="http://schemas.microsoft.com/office/spreadsheetml/2010/11/main" uri="{B97F6D7D-B522-45F9-BDA1-12C45D357490}">
          <x15:cacheHierarchy aggregatedColumn="16"/>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8"/>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3"/>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pin kumar pandey" refreshedDate="45954.031717939812" backgroundQuery="1" createdVersion="8" refreshedVersion="8" minRefreshableVersion="3" recordCount="0" supportSubquery="1" supportAdvancedDrill="1" xr:uid="{43DF7A6C-44A4-46FA-961E-FAD8A0EC0144}">
  <cacheSource type="external" connectionId="3"/>
  <cacheFields count="3">
    <cacheField name="[Measures].[Average of Patient Satisfaction Score]" caption="Average of Patient Satisfaction Score" numFmtId="0" hierarchy="29" level="32767"/>
    <cacheField name="[Calendar_Table].[Date (Month)].[Date (Month)]" caption="Date (Month)" numFmtId="0" hierarchy="1" level="1">
      <sharedItems containsSemiMixedTypes="0" containsNonDate="0" containsString="0"/>
    </cacheField>
    <cacheField name="[Calendar_Table].[Date (Year)].[Date (Year)]" caption="Date (Year)" numFmtId="0" hierarchy="3" level="1">
      <sharedItems containsSemiMixedTypes="0" containsNonDate="0" containsString="0"/>
    </cacheField>
  </cacheFields>
  <cacheHierarchies count="35">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1"/>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Calendar_Table].[Date (Year)]" caption="Date (Year)" attribute="1" defaultMemberUniqueName="[Calendar_Table].[Date (Year)].[All]" allUniqueName="[Calendar_Table].[Date (Year)].[All]" dimensionUniqueName="[Calendar_Table]" displayFolder="" count="2" memberValueDatatype="130" unbalanced="0">
      <fieldsUsage count="2">
        <fieldUsage x="-1"/>
        <fieldUsage x="2"/>
      </fieldsUsage>
    </cacheHierarchy>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Patient Admission Date.3]" caption="Patient Admission Date.3" attribute="1" defaultMemberUniqueName="[Hospital Emergency Room Data].[Patient Admission Date.3].[All]" allUniqueName="[Hospital Emergency Room Data].[Patient Admission Date.3].[All]" dimensionUniqueName="[Hospital Emergency Room Data]" displayFolder="" count="0" memberValueDatatype="130"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Satisfaction Score]" caption="Average of Patient Satisfaction Score" measure="1" displayFolder="" measureGroup="Hospital Emergency Room Data" count="0" oneField="1" hidden="1">
      <fieldsUsage count="1">
        <fieldUsage x="0"/>
      </fieldsUsage>
      <extLst>
        <ext xmlns:x15="http://schemas.microsoft.com/office/spreadsheetml/2010/11/main" uri="{B97F6D7D-B522-45F9-BDA1-12C45D357490}">
          <x15:cacheHierarchy aggregatedColumn="15"/>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8"/>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3"/>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pin kumar pandey" refreshedDate="45954.031718749997" backgroundQuery="1" createdVersion="8" refreshedVersion="8" minRefreshableVersion="3" recordCount="0" supportSubquery="1" supportAdvancedDrill="1" xr:uid="{31C35596-22FB-4558-9011-90B46436F730}">
  <cacheSource type="external" connectionId="3"/>
  <cacheFields count="4">
    <cacheField name="[Calendar_Table].[Date].[Date]" caption="Date" numFmtId="0" level="1">
      <sharedItems containsSemiMixedTypes="0" containsNonDate="0" containsDate="1" containsString="0" minDate="2024-05-01T00:00:00" maxDate="2024-06-01T00:00:00" count="31">
        <d v="2024-05-01T00:00:00"/>
        <d v="2024-05-02T00:00:00"/>
        <d v="2024-05-03T00:00:00"/>
        <d v="2024-05-04T00:00:00"/>
        <d v="2024-05-05T00:00:00"/>
        <d v="2024-05-06T00:00:00"/>
        <d v="2024-05-07T00:00:00"/>
        <d v="2024-05-08T00:00:00"/>
        <d v="2024-05-09T00:00:00"/>
        <d v="2024-05-10T00:00:00"/>
        <d v="2024-05-11T00:00:00"/>
        <d v="2024-05-12T00:00:00"/>
        <d v="2024-05-13T00:00:00"/>
        <d v="2024-05-14T00:00:00"/>
        <d v="2024-05-15T00:00:00"/>
        <d v="2024-05-16T00:00:00"/>
        <d v="2024-05-17T00:00:00"/>
        <d v="2024-05-18T00:00:00"/>
        <d v="2024-05-19T00:00:00"/>
        <d v="2024-05-20T00:00:00"/>
        <d v="2024-05-21T00:00:00"/>
        <d v="2024-05-22T00:00:00"/>
        <d v="2024-05-23T00:00:00"/>
        <d v="2024-05-24T00:00:00"/>
        <d v="2024-05-25T00:00:00"/>
        <d v="2024-05-26T00:00:00"/>
        <d v="2024-05-27T00:00:00"/>
        <d v="2024-05-28T00:00:00"/>
        <d v="2024-05-29T00:00:00"/>
        <d v="2024-05-30T00:00:00"/>
        <d v="2024-05-31T00:00:00"/>
      </sharedItems>
    </cacheField>
    <cacheField name="[Calendar_Table].[Date (Month)].[Date (Month)]" caption="Date (Month)" numFmtId="0" hierarchy="1" level="1">
      <sharedItems containsSemiMixedTypes="0" containsNonDate="0" containsString="0"/>
    </cacheField>
    <cacheField name="[Measures].[Average of Patient Satisfaction Score]" caption="Average of Patient Satisfaction Score" numFmtId="0" hierarchy="29" level="32767"/>
    <cacheField name="[Calendar_Table].[Date (Year)].[Date (Year)]" caption="Date (Year)" numFmtId="0" hierarchy="3" level="1">
      <sharedItems containsSemiMixedTypes="0" containsNonDate="0" containsString="0"/>
    </cacheField>
  </cacheFields>
  <cacheHierarchies count="35">
    <cacheHierarchy uniqueName="[Calendar_Table].[Date]" caption="Date" attribute="1" time="1" defaultMemberUniqueName="[Calendar_Table].[Date].[All]" allUniqueName="[Calendar_Table].[Date].[All]" dimensionUniqueName="[Calendar_Table]" displayFolder="" count="2" memberValueDatatype="7" unbalanced="0">
      <fieldsUsage count="2">
        <fieldUsage x="-1"/>
        <fieldUsage x="0"/>
      </fieldsUsage>
    </cacheHierarchy>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1"/>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Calendar_Table].[Date (Year)]" caption="Date (Year)" attribute="1" defaultMemberUniqueName="[Calendar_Table].[Date (Year)].[All]" allUniqueName="[Calendar_Table].[Date (Year)].[All]" dimensionUniqueName="[Calendar_Table]" displayFolder="" count="2" memberValueDatatype="130" unbalanced="0">
      <fieldsUsage count="2">
        <fieldUsage x="-1"/>
        <fieldUsage x="3"/>
      </fieldsUsage>
    </cacheHierarchy>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Patient Admission Date.3]" caption="Patient Admission Date.3" attribute="1" defaultMemberUniqueName="[Hospital Emergency Room Data].[Patient Admission Date.3].[All]" allUniqueName="[Hospital Emergency Room Data].[Patient Admission Date.3].[All]" dimensionUniqueName="[Hospital Emergency Room Data]" displayFolder="" count="0" memberValueDatatype="130"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Satisfaction Score]" caption="Average of Patient Satisfaction Score" measure="1" displayFolder="" measureGroup="Hospital Emergency Room Data" count="0" oneField="1" hidden="1">
      <fieldsUsage count="1">
        <fieldUsage x="2"/>
      </fieldsUsage>
      <extLst>
        <ext xmlns:x15="http://schemas.microsoft.com/office/spreadsheetml/2010/11/main" uri="{B97F6D7D-B522-45F9-BDA1-12C45D357490}">
          <x15:cacheHierarchy aggregatedColumn="15"/>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8"/>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3"/>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pin kumar pandey" refreshedDate="45954.031722106483" backgroundQuery="1" createdVersion="8" refreshedVersion="8" minRefreshableVersion="3" recordCount="0" supportSubquery="1" supportAdvancedDrill="1" xr:uid="{AC077DDA-61EC-4BCD-BD18-CE910499933E}">
  <cacheSource type="external" connectionId="3"/>
  <cacheFields count="5">
    <cacheField name="[Calendar_Table].[Date (Month)].[Date (Month)]" caption="Date (Month)" numFmtId="0" hierarchy="1" level="1">
      <sharedItems containsSemiMixedTypes="0" containsNonDate="0" containsString="0"/>
    </cacheField>
    <cacheField name="[Measures].[Count of Patient Admission Flag]" caption="Count of Patient Admission Flag" numFmtId="0" hierarchy="31" level="32767"/>
    <cacheField name="[Hospital Emergency Room Data].[Patient Admission Flag].[Patient Admission Flag]" caption="Patient Admission Flag" numFmtId="0" hierarchy="14" level="1">
      <sharedItems count="2">
        <s v="Admitted"/>
        <s v="Not Admitted"/>
      </sharedItems>
    </cacheField>
    <cacheField name="[Calendar_Table].[Date (Year)].[Date (Year)]" caption="Date (Year)" numFmtId="0" hierarchy="3" level="1">
      <sharedItems containsSemiMixedTypes="0" containsNonDate="0" containsString="0"/>
    </cacheField>
    <cacheField name="Unsupported0" numFmtId="0" hierarchy="35" level="32767">
      <extLst>
        <ext xmlns:x14="http://schemas.microsoft.com/office/spreadsheetml/2009/9/main" uri="{63CAB8AC-B538-458d-9737-405883B0398D}">
          <x14:cacheField ignore="1"/>
        </ext>
      </extLst>
    </cacheField>
  </cacheFields>
  <cacheHierarchies count="36">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0"/>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Calendar_Table].[Date (Year)]" caption="Date (Year)" attribute="1" defaultMemberUniqueName="[Calendar_Table].[Date (Year)].[All]" allUniqueName="[Calendar_Table].[Date (Year)].[All]" dimensionUniqueName="[Calendar_Table]" displayFolder="" count="2" memberValueDatatype="130" unbalanced="0">
      <fieldsUsage count="2">
        <fieldUsage x="-1"/>
        <fieldUsage x="3"/>
      </fieldsUsage>
    </cacheHierarchy>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Patient Admission Date.3]" caption="Patient Admission Date.3" attribute="1" defaultMemberUniqueName="[Hospital Emergency Room Data].[Patient Admission Date.3].[All]" allUniqueName="[Hospital Emergency Room Data].[Patient Admission Date.3].[All]" dimensionUniqueName="[Hospital Emergency Room Data]" displayFolder="" count="0" memberValueDatatype="130"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2" memberValueDatatype="130" unbalanced="0">
      <fieldsUsage count="2">
        <fieldUsage x="-1"/>
        <fieldUsage x="2"/>
      </fieldsUsage>
    </cacheHierarchy>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8"/>
        </ext>
      </extLst>
    </cacheHierarchy>
    <cacheHierarchy uniqueName="[Measures].[Count of Patient Admission Flag]" caption="Count of Patient Admission Flag" measure="1" displayFolder="" measureGroup="Hospital Emergency Room Data" count="0" oneField="1" hidden="1">
      <fieldsUsage count="1">
        <fieldUsage x="1"/>
      </fieldsUsage>
      <extLst>
        <ext xmlns:x15="http://schemas.microsoft.com/office/spreadsheetml/2010/11/main" uri="{B97F6D7D-B522-45F9-BDA1-12C45D357490}">
          <x15:cacheHierarchy aggregatedColumn="14"/>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3"/>
        </ext>
      </extLst>
    </cacheHierarchy>
    <cacheHierarchy uniqueName="Unsupported0" caption="Date" measure="1" count="0">
      <extLst>
        <ext xmlns:x14="http://schemas.microsoft.com/office/spreadsheetml/2009/9/main" uri="{8CF416AD-EC4C-4aba-99F5-12A058AE0983}">
          <x14:cacheHierarchy ignore="1"/>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pin kumar pandey" refreshedDate="45954.031725347224" backgroundQuery="1" createdVersion="8" refreshedVersion="8" minRefreshableVersion="3" recordCount="0" supportSubquery="1" supportAdvancedDrill="1" xr:uid="{2C688C1C-896F-4314-B416-06EA36BF1153}">
  <cacheSource type="external" connectionId="3"/>
  <cacheFields count="4">
    <cacheField name="[Calendar_Table].[Date (Month)].[Date (Month)]" caption="Date (Month)" numFmtId="0" hierarchy="1" level="1">
      <sharedItems containsSemiMixedTypes="0" containsNonDate="0" containsString="0"/>
    </cacheField>
    <cacheField name="[Hospital Emergency Room Data].[Age Group].[Age Group]" caption="Age Group" numFmtId="0" hierarchy="17" level="1">
      <sharedItems count="8">
        <s v="0-9"/>
        <s v="10-19"/>
        <s v="20-29"/>
        <s v="30-39"/>
        <s v="40-49"/>
        <s v="50-59"/>
        <s v="60-69"/>
        <s v="70-79"/>
      </sharedItems>
    </cacheField>
    <cacheField name="[Measures].[Count of Age Group]" caption="Count of Age Group" numFmtId="0" hierarchy="32" level="32767"/>
    <cacheField name="[Calendar_Table].[Date (Year)].[Date (Year)]" caption="Date (Year)" numFmtId="0" hierarchy="3" level="1">
      <sharedItems containsSemiMixedTypes="0" containsNonDate="0" containsString="0"/>
    </cacheField>
  </cacheFields>
  <cacheHierarchies count="35">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0"/>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Calendar_Table].[Date (Year)]" caption="Date (Year)" attribute="1" defaultMemberUniqueName="[Calendar_Table].[Date (Year)].[All]" allUniqueName="[Calendar_Table].[Date (Year)].[All]" dimensionUniqueName="[Calendar_Table]" displayFolder="" count="2" memberValueDatatype="130" unbalanced="0">
      <fieldsUsage count="2">
        <fieldUsage x="-1"/>
        <fieldUsage x="3"/>
      </fieldsUsage>
    </cacheHierarchy>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Patient Admission Date.3]" caption="Patient Admission Date.3" attribute="1" defaultMemberUniqueName="[Hospital Emergency Room Data].[Patient Admission Date.3].[All]" allUniqueName="[Hospital Emergency Room Data].[Patient Admission Date.3].[All]" dimensionUniqueName="[Hospital Emergency Room Data]" displayFolder="" count="0" memberValueDatatype="130"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2" memberValueDatatype="130" unbalanced="0">
      <fieldsUsage count="2">
        <fieldUsage x="-1"/>
        <fieldUsage x="1"/>
      </fieldsUsage>
    </cacheHierarchy>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8"/>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Age Group]" caption="Count of Age Group" measure="1" displayFolder="" measureGroup="Hospital Emergency Room Data" count="0" oneField="1" hidden="1">
      <fieldsUsage count="1">
        <fieldUsage x="2"/>
      </fieldsUsage>
      <extLst>
        <ext xmlns:x15="http://schemas.microsoft.com/office/spreadsheetml/2010/11/main" uri="{B97F6D7D-B522-45F9-BDA1-12C45D357490}">
          <x15:cacheHierarchy aggregatedColumn="17"/>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3"/>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pin kumar pandey" refreshedDate="45954.031726273148" backgroundQuery="1" createdVersion="8" refreshedVersion="8" minRefreshableVersion="3" recordCount="0" supportSubquery="1" supportAdvancedDrill="1" xr:uid="{5A1FC122-551F-4440-B14E-55900EAE3F77}">
  <cacheSource type="external" connectionId="3"/>
  <cacheFields count="4">
    <cacheField name="[Calendar_Table].[Date (Month)].[Date (Month)]" caption="Date (Month)" numFmtId="0" hierarchy="1" level="1">
      <sharedItems containsSemiMixedTypes="0" containsNonDate="0" containsString="0"/>
    </cacheField>
    <cacheField name="[Hospital Emergency Room Data].[Patient attend Status].[Patient attend Status]" caption="Patient attend Status" numFmtId="0" hierarchy="18" level="1">
      <sharedItems count="2">
        <s v="Delay"/>
        <s v="Ontime"/>
      </sharedItems>
    </cacheField>
    <cacheField name="[Measures].[Count of Patient attend Status]" caption="Count of Patient attend Status" numFmtId="0" hierarchy="30" level="32767"/>
    <cacheField name="[Calendar_Table].[Date (Year)].[Date (Year)]" caption="Date (Year)" numFmtId="0" hierarchy="3" level="1">
      <sharedItems containsSemiMixedTypes="0" containsNonDate="0" containsString="0"/>
    </cacheField>
  </cacheFields>
  <cacheHierarchies count="35">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0"/>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Calendar_Table].[Date (Year)]" caption="Date (Year)" attribute="1" defaultMemberUniqueName="[Calendar_Table].[Date (Year)].[All]" allUniqueName="[Calendar_Table].[Date (Year)].[All]" dimensionUniqueName="[Calendar_Table]" displayFolder="" count="2" memberValueDatatype="130" unbalanced="0">
      <fieldsUsage count="2">
        <fieldUsage x="-1"/>
        <fieldUsage x="3"/>
      </fieldsUsage>
    </cacheHierarchy>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Patient Admission Date.3]" caption="Patient Admission Date.3" attribute="1" defaultMemberUniqueName="[Hospital Emergency Room Data].[Patient Admission Date.3].[All]" allUniqueName="[Hospital Emergency Room Data].[Patient Admission Date.3].[All]" dimensionUniqueName="[Hospital Emergency Room Data]" displayFolder="" count="0" memberValueDatatype="130"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2" memberValueDatatype="130" unbalanced="0">
      <fieldsUsage count="2">
        <fieldUsage x="-1"/>
        <fieldUsage x="1"/>
      </fieldsUsage>
    </cacheHierarchy>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Count of Patient attend Status]" caption="Count of Patient attend Status" measure="1" displayFolder="" measureGroup="Hospital Emergency Room Data" count="0" oneField="1" hidden="1">
      <fieldsUsage count="1">
        <fieldUsage x="2"/>
      </fieldsUsage>
      <extLst>
        <ext xmlns:x15="http://schemas.microsoft.com/office/spreadsheetml/2010/11/main" uri="{B97F6D7D-B522-45F9-BDA1-12C45D357490}">
          <x15:cacheHierarchy aggregatedColumn="18"/>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3"/>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pin kumar pandey" refreshedDate="45954.031729050927" backgroundQuery="1" createdVersion="8" refreshedVersion="8" minRefreshableVersion="3" recordCount="0" supportSubquery="1" supportAdvancedDrill="1" xr:uid="{2F1F46D9-D42D-4DED-8424-E698FC7B9C25}">
  <cacheSource type="external" connectionId="3"/>
  <cacheFields count="4">
    <cacheField name="[Calendar_Table].[Date (Month)].[Date (Month)]" caption="Date (Month)" numFmtId="0" hierarchy="1" level="1">
      <sharedItems containsSemiMixedTypes="0" containsNonDate="0" containsString="0"/>
    </cacheField>
    <cacheField name="[Hospital Emergency Room Data].[Patient Gender].[Patient Gender]" caption="Patient Gender" numFmtId="0" hierarchy="10" level="1">
      <sharedItems count="2">
        <s v="Female"/>
        <s v="Male"/>
      </sharedItems>
    </cacheField>
    <cacheField name="[Measures].[Count of Patient Gender]" caption="Count of Patient Gender" numFmtId="0" hierarchy="33" level="32767"/>
    <cacheField name="[Calendar_Table].[Date (Year)].[Date (Year)]" caption="Date (Year)" numFmtId="0" hierarchy="3" level="1">
      <sharedItems containsSemiMixedTypes="0" containsNonDate="0" containsString="0"/>
    </cacheField>
  </cacheFields>
  <cacheHierarchies count="35">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0"/>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Calendar_Table].[Date (Year)]" caption="Date (Year)" attribute="1" defaultMemberUniqueName="[Calendar_Table].[Date (Year)].[All]" allUniqueName="[Calendar_Table].[Date (Year)].[All]" dimensionUniqueName="[Calendar_Table]" displayFolder="" count="2" memberValueDatatype="130" unbalanced="0">
      <fieldsUsage count="2">
        <fieldUsage x="-1"/>
        <fieldUsage x="3"/>
      </fieldsUsage>
    </cacheHierarchy>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Patient Admission Date.3]" caption="Patient Admission Date.3" attribute="1" defaultMemberUniqueName="[Hospital Emergency Room Data].[Patient Admission Date.3].[All]" allUniqueName="[Hospital Emergency Room Data].[Patient Admission Date.3].[All]" dimensionUniqueName="[Hospital Emergency Room Data]" displayFolder="" count="0" memberValueDatatype="130"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2" memberValueDatatype="130" unbalanced="0">
      <fieldsUsage count="2">
        <fieldUsage x="-1"/>
        <fieldUsage x="1"/>
      </fieldsUsage>
    </cacheHierarchy>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8"/>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Gender]" caption="Count of Patient Gender" measure="1" displayFolder="" measureGroup="Hospital Emergency Room Data" count="0" oneField="1" hidden="1">
      <fieldsUsage count="1">
        <fieldUsage x="2"/>
      </fieldsUsage>
      <extLst>
        <ext xmlns:x15="http://schemas.microsoft.com/office/spreadsheetml/2010/11/main" uri="{B97F6D7D-B522-45F9-BDA1-12C45D357490}">
          <x15:cacheHierarchy aggregatedColumn="10"/>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3"/>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pin kumar pandey" refreshedDate="45954.031731828705" backgroundQuery="1" createdVersion="8" refreshedVersion="8" minRefreshableVersion="3" recordCount="0" supportSubquery="1" supportAdvancedDrill="1" xr:uid="{EA97236B-A595-4FE9-B954-867253406332}">
  <cacheSource type="external" connectionId="3"/>
  <cacheFields count="4">
    <cacheField name="[Calendar_Table].[Date (Month)].[Date (Month)]" caption="Date (Month)" numFmtId="0" hierarchy="1" level="1">
      <sharedItems containsSemiMixedTypes="0" containsNonDate="0" containsString="0"/>
    </cacheField>
    <cacheField name="[Hospital Emergency Room Data].[Department Referral].[Department Referral]" caption="Department Referral" numFmtId="0" hierarchy="13" level="1">
      <sharedItems count="8">
        <s v="Cardiology"/>
        <s v="Gastroenterology"/>
        <s v="General Practice"/>
        <s v="Neurology"/>
        <s v="None"/>
        <s v="Orthopedics"/>
        <s v="Physiotherapy"/>
        <s v="Renal"/>
      </sharedItems>
    </cacheField>
    <cacheField name="[Measures].[Count of Department Referral]" caption="Count of Department Referral" numFmtId="0" hierarchy="34" level="32767"/>
    <cacheField name="[Calendar_Table].[Date (Year)].[Date (Year)]" caption="Date (Year)" numFmtId="0" hierarchy="3" level="1">
      <sharedItems containsSemiMixedTypes="0" containsNonDate="0" containsString="0"/>
    </cacheField>
  </cacheFields>
  <cacheHierarchies count="35">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0"/>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Calendar_Table].[Date (Year)]" caption="Date (Year)" attribute="1" defaultMemberUniqueName="[Calendar_Table].[Date (Year)].[All]" allUniqueName="[Calendar_Table].[Date (Year)].[All]" dimensionUniqueName="[Calendar_Table]" displayFolder="" count="2" memberValueDatatype="130" unbalanced="0">
      <fieldsUsage count="2">
        <fieldUsage x="-1"/>
        <fieldUsage x="3"/>
      </fieldsUsage>
    </cacheHierarchy>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Patient Admission Date.3]" caption="Patient Admission Date.3" attribute="1" defaultMemberUniqueName="[Hospital Emergency Room Data].[Patient Admission Date.3].[All]" allUniqueName="[Hospital Emergency Room Data].[Patient Admission Date.3].[All]" dimensionUniqueName="[Hospital Emergency Room Data]" displayFolder="" count="0" memberValueDatatype="130"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2" memberValueDatatype="130" unbalanced="0">
      <fieldsUsage count="2">
        <fieldUsage x="-1"/>
        <fieldUsage x="1"/>
      </fieldsUsage>
    </cacheHierarchy>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8"/>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Count of Department Referral]" caption="Count of Department Referral" measure="1" displayFolder="" measureGroup="Hospital Emergency Room Data" count="0" oneField="1" hidden="1">
      <fieldsUsage count="1">
        <fieldUsage x="2"/>
      </fieldsUsage>
      <extLst>
        <ext xmlns:x15="http://schemas.microsoft.com/office/spreadsheetml/2010/11/main" uri="{B97F6D7D-B522-45F9-BDA1-12C45D357490}">
          <x15:cacheHierarchy aggregatedColumn="13"/>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pin kumar pandey" refreshedDate="45954.031734837961" backgroundQuery="1" createdVersion="8" refreshedVersion="8" minRefreshableVersion="3" recordCount="0" supportSubquery="1" supportAdvancedDrill="1" xr:uid="{026896EA-1837-46B1-B447-C11E7478A555}">
  <cacheSource type="external" connectionId="3"/>
  <cacheFields count="4">
    <cacheField name="[Calendar_Table].[Date (Month)].[Date (Month)]" caption="Date (Month)" numFmtId="0" hierarchy="1" level="1">
      <sharedItems count="1">
        <s v="May"/>
      </sharedItems>
    </cacheField>
    <cacheField name="[Calendar_Table].[Date].[Date]" caption="Date" numFmtId="0" level="1">
      <sharedItems containsSemiMixedTypes="0" containsNonDate="0" containsDate="1" containsString="0" minDate="2024-05-01T00:00:00" maxDate="2024-06-01T00:00:00" count="31">
        <d v="2024-05-01T00:00:00"/>
        <d v="2024-05-02T00:00:00"/>
        <d v="2024-05-03T00:00:00"/>
        <d v="2024-05-04T00:00:00"/>
        <d v="2024-05-05T00:00:00"/>
        <d v="2024-05-06T00:00:00"/>
        <d v="2024-05-07T00:00:00"/>
        <d v="2024-05-08T00:00:00"/>
        <d v="2024-05-09T00:00:00"/>
        <d v="2024-05-10T00:00:00"/>
        <d v="2024-05-11T00:00:00"/>
        <d v="2024-05-12T00:00:00"/>
        <d v="2024-05-13T00:00:00"/>
        <d v="2024-05-14T00:00:00"/>
        <d v="2024-05-15T00:00:00"/>
        <d v="2024-05-16T00:00:00"/>
        <d v="2024-05-17T00:00:00"/>
        <d v="2024-05-18T00:00:00"/>
        <d v="2024-05-19T00:00:00"/>
        <d v="2024-05-20T00:00:00"/>
        <d v="2024-05-21T00:00:00"/>
        <d v="2024-05-22T00:00:00"/>
        <d v="2024-05-23T00:00:00"/>
        <d v="2024-05-24T00:00:00"/>
        <d v="2024-05-25T00:00:00"/>
        <d v="2024-05-26T00:00:00"/>
        <d v="2024-05-27T00:00:00"/>
        <d v="2024-05-28T00:00:00"/>
        <d v="2024-05-29T00:00:00"/>
        <d v="2024-05-30T00:00:00"/>
        <d v="2024-05-31T00:00:00"/>
      </sharedItems>
    </cacheField>
    <cacheField name="[Calendar_Table].[Date (Quarter)].[Date (Quarter)]" caption="Date (Quarter)" numFmtId="0" hierarchy="4" level="1">
      <sharedItems count="1">
        <s v="Qtr2"/>
      </sharedItems>
    </cacheField>
    <cacheField name="[Calendar_Table].[Date (Year)].[Date (Year)]" caption="Date (Year)" numFmtId="0" hierarchy="3" level="1">
      <sharedItems count="1">
        <s v="2024"/>
      </sharedItems>
    </cacheField>
  </cacheFields>
  <cacheHierarchies count="35">
    <cacheHierarchy uniqueName="[Calendar_Table].[Date]" caption="Date" attribute="1" time="1" defaultMemberUniqueName="[Calendar_Table].[Date].[All]" allUniqueName="[Calendar_Table].[Date].[All]" dimensionUniqueName="[Calendar_Table]" displayFolder="" count="2" memberValueDatatype="7" unbalanced="0">
      <fieldsUsage count="2">
        <fieldUsage x="-1"/>
        <fieldUsage x="1"/>
      </fieldsUsage>
    </cacheHierarchy>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0"/>
      </fieldsUsage>
    </cacheHierarchy>
    <cacheHierarchy uniqueName="[Calendar_Table].[Date (Day)]" caption="Date (Day)" attribute="1" defaultMemberUniqueName="[Calendar_Table].[Date (Day)].[All]" allUniqueName="[Calendar_Table].[Date (Day)].[All]" dimensionUniqueName="[Calendar_Table]" displayFolder="" count="2" memberValueDatatype="130" unbalanced="0"/>
    <cacheHierarchy uniqueName="[Calendar_Table].[Date (Year)]" caption="Date (Year)" attribute="1" defaultMemberUniqueName="[Calendar_Table].[Date (Year)].[All]" allUniqueName="[Calendar_Table].[Date (Year)].[All]" dimensionUniqueName="[Calendar_Table]" displayFolder="" count="2" memberValueDatatype="130" unbalanced="0">
      <fieldsUsage count="2">
        <fieldUsage x="-1"/>
        <fieldUsage x="3"/>
      </fieldsUsage>
    </cacheHierarchy>
    <cacheHierarchy uniqueName="[Calendar_Table].[Date (Quarter)]" caption="Date (Quarter)" attribute="1" defaultMemberUniqueName="[Calendar_Table].[Date (Quarter)].[All]" allUniqueName="[Calendar_Table].[Date (Quarter)].[All]" dimensionUniqueName="[Calendar_Table]" displayFolder="" count="2" memberValueDatatype="130" unbalanced="0">
      <fieldsUsage count="2">
        <fieldUsage x="-1"/>
        <fieldUsage x="2"/>
      </fieldsUsage>
    </cacheHierarchy>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2"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2"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2" memberValueDatatype="7" unbalanced="0"/>
    <cacheHierarchy uniqueName="[Hospital Emergency Room Data].[Patient Admission Date.3]" caption="Patient Admission Date.3" attribute="1" defaultMemberUniqueName="[Hospital Emergency Room Data].[Patient Admission Date.3].[All]" allUniqueName="[Hospital Emergency Room Data].[Patient Admission Date.3].[All]" dimensionUniqueName="[Hospital Emergency Room Data]" displayFolder="" count="2" memberValueDatatype="130" unbalanced="0"/>
    <cacheHierarchy uniqueName="[Hospital Emergency Room Data].[Merged]" caption="Merged" attribute="1" defaultMemberUniqueName="[Hospital Emergency Room Data].[Merged].[All]" allUniqueName="[Hospital Emergency Room Data].[Merged].[All]" dimensionUniqueName="[Hospital Emergency Room Data]" displayFolder="" count="2"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2"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2"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2"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2"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2"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2"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2"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2"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2" memberValueDatatype="130" unbalanced="0"/>
    <cacheHierarchy uniqueName="[Calendar_Table].[Date (Day Index)]" caption="Date (Day Index)" attribute="1" defaultMemberUniqueName="[Calendar_Table].[Date (Day Index)].[All]" allUniqueName="[Calendar_Table].[Date (Day Index)].[All]" dimensionUniqueName="[Calendar_Table]" displayFolder="" count="2"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2"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8"/>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3"/>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 refreshedDate="45829.309724189814" backgroundQuery="1" createdVersion="3" refreshedVersion="8" minRefreshableVersion="3" recordCount="0" supportSubquery="1" supportAdvancedDrill="1" xr:uid="{18BBB660-C711-4D07-A1DB-D1BD67E8842B}">
  <cacheSource type="external" connectionId="3">
    <extLst>
      <ext xmlns:x14="http://schemas.microsoft.com/office/spreadsheetml/2009/9/main" uri="{F057638F-6D5F-4e77-A914-E7F072B9BCA8}">
        <x14:sourceConnection name="ThisWorkbookDataModel"/>
      </ext>
    </extLst>
  </cacheSource>
  <cacheFields count="0"/>
  <cacheHierarchies count="35">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te (Month)]" caption="Date (Month)" attribute="1" defaultMemberUniqueName="[Calendar_Table].[Date (Month)].[All]" allUniqueName="[Calendar_Table].[Date (Month)].[All]" dimensionUniqueName="[Calendar_Table]" displayFolder="" count="2" memberValueDatatype="130" unbalanced="0"/>
    <cacheHierarchy uniqueName="[Calendar_Table].[Date (Day)]" caption="Date (Day)" attribute="1" defaultMemberUniqueName="[Calendar_Table].[Date (Day)].[All]" allUniqueName="[Calendar_Table].[Date (Day)].[All]" dimensionUniqueName="[Calendar_Table]" displayFolder="" count="0" memberValueDatatype="130" unbalanced="0"/>
    <cacheHierarchy uniqueName="[Calendar_Table].[Date (Year)]" caption="Date (Year)" attribute="1" defaultMemberUniqueName="[Calendar_Table].[Date (Year)].[All]" allUniqueName="[Calendar_Table].[Date (Year)].[All]" dimensionUniqueName="[Calendar_Table]" displayFolder="" count="2" memberValueDatatype="130" unbalanced="0"/>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Patient Admission Date.3]" caption="Patient Admission Date.3" attribute="1" defaultMemberUniqueName="[Hospital Emergency Room Data].[Patient Admission Date.3].[All]" allUniqueName="[Hospital Emergency Room Data].[Patient Admission Date.3].[All]" dimensionUniqueName="[Hospital Emergency Room Data]" displayFolder="" count="0" memberValueDatatype="130"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8"/>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3"/>
        </ext>
      </extLst>
    </cacheHierarchy>
  </cacheHierarchies>
  <kpis count="0"/>
  <extLst>
    <ext xmlns:x14="http://schemas.microsoft.com/office/spreadsheetml/2009/9/main" uri="{725AE2AE-9491-48be-B2B4-4EB974FC3084}">
      <x14:pivotCacheDefinition slicerData="1" pivotCacheId="565550420"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79AE508-8BFE-4934-A666-025EF8E3CAD5}" name="PivotTable10" cacheId="12" applyNumberFormats="0" applyBorderFormats="0" applyFontFormats="0" applyPatternFormats="0" applyAlignmentFormats="0" applyWidthHeightFormats="1" dataCaption="Values" tag="f0ce8773-17e4-464a-b9cf-005697d36b8c" updatedVersion="8" minRefreshableVersion="3" subtotalHiddenItems="1" itemPrintTitles="1" createdVersion="8" indent="0" outline="1" outlineData="1" multipleFieldFilters="0" chartFormat="19">
  <location ref="C86:D95" firstHeaderRow="1" firstDataRow="1" firstDataCol="1"/>
  <pivotFields count="4">
    <pivotField allDrilled="1" subtotalTop="0" showAll="0" dataSourceSort="1" defaultSubtotal="0" defaultAttributeDrillState="1"/>
    <pivotField axis="axisRow" allDrilled="1" subtotalTop="0" showAll="0" sortType="descending" defaultSubtotal="0" defaultAttributeDrillState="1">
      <items count="8">
        <item x="0"/>
        <item x="1"/>
        <item x="2"/>
        <item x="3"/>
        <item x="4"/>
        <item x="5"/>
        <item x="6"/>
        <item x="7"/>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1"/>
  </rowFields>
  <rowItems count="9">
    <i>
      <x v="4"/>
    </i>
    <i>
      <x v="2"/>
    </i>
    <i>
      <x v="5"/>
    </i>
    <i>
      <x v="3"/>
    </i>
    <i>
      <x v="6"/>
    </i>
    <i>
      <x/>
    </i>
    <i>
      <x v="1"/>
    </i>
    <i>
      <x v="7"/>
    </i>
    <i t="grand">
      <x/>
    </i>
  </rowItems>
  <colItems count="1">
    <i/>
  </colItems>
  <dataFields count="1">
    <dataField name="Count of Department Referral" fld="2" subtotal="count" baseField="0" baseItem="0"/>
  </dataFields>
  <formats count="2">
    <format dxfId="1">
      <pivotArea outline="0" collapsedLevelsAreSubtotals="1" fieldPosition="0"/>
    </format>
    <format dxfId="0">
      <pivotArea collapsedLevelsAreSubtotals="1" fieldPosition="0">
        <references count="1">
          <reference field="1" count="0"/>
        </references>
      </pivotArea>
    </format>
  </formats>
  <chartFormats count="2">
    <chartFormat chart="16" format="1" series="1">
      <pivotArea type="data" outline="0" fieldPosition="0">
        <references count="1">
          <reference field="4294967294" count="1" selected="0">
            <x v="0"/>
          </reference>
        </references>
      </pivotArea>
    </chartFormat>
    <chartFormat chart="17" format="2" series="1">
      <pivotArea type="data" outline="0" fieldPosition="0">
        <references count="1">
          <reference field="4294967294" count="1" selected="0">
            <x v="0"/>
          </reference>
        </references>
      </pivotArea>
    </chartFormat>
  </chartFormats>
  <pivotHierarchies count="35">
    <pivotHierarchy dragToData="1"/>
    <pivotHierarchy multipleItemSelectionAllowed="1" dragToData="1">
      <members count="1" level="1">
        <member name="[Calendar_Table].[Date (Month)].&amp;[May]"/>
      </members>
    </pivotHierarchy>
    <pivotHierarchy dragToData="1"/>
    <pivotHierarchy multipleItemSelectionAllowed="1" dragToData="1">
      <members count="1" level="1">
        <member name="[Calendar_Table].[Date (Year)].&amp;[202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caption="Average of Patient Satisfaction Score"/>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9D9FC7B-80FF-46DD-B786-B81F60899372}" name="PivotTable3" cacheId="4" applyNumberFormats="0" applyBorderFormats="0" applyFontFormats="0" applyPatternFormats="0" applyAlignmentFormats="0" applyWidthHeightFormats="1" dataCaption="Values" tag="68ddd527-1195-4b2d-8e53-82132a893a0f" updatedVersion="8" minRefreshableVersion="3" subtotalHiddenItems="1" itemPrintTitles="1" createdVersion="8" indent="0" outline="1" outlineData="1" multipleFieldFilters="0">
  <location ref="G7:G8" firstHeaderRow="1" firstDataRow="1" firstDataCol="0"/>
  <pivotFields count="3">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Distinct Count of Patient Id" fld="0" subtotal="count" baseField="0" baseItem="0">
      <extLst>
        <ext xmlns:x15="http://schemas.microsoft.com/office/spreadsheetml/2010/11/main" uri="{FABC7310-3BB5-11E1-824E-6D434824019B}">
          <x15:dataField isCountDistinct="1"/>
        </ext>
      </extLst>
    </dataField>
  </dataFields>
  <pivotHierarchies count="35">
    <pivotHierarchy dragToData="1"/>
    <pivotHierarchy multipleItemSelectionAllowed="1" dragToData="1">
      <members count="1" level="1">
        <member name="[Calendar_Table].[Date (Month)].&amp;[May]"/>
      </members>
    </pivotHierarchy>
    <pivotHierarchy dragToData="1"/>
    <pivotHierarchy multipleItemSelectionAllowed="1" dragToData="1">
      <members count="1" level="1">
        <member name="[Calendar_Table].[Date (Year)].&amp;[202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79F3945-DDB2-4B2B-AB58-285DDAC68EB3}" name="PivotTable1" cacheId="3" applyNumberFormats="0" applyBorderFormats="0" applyFontFormats="0" applyPatternFormats="0" applyAlignmentFormats="0" applyWidthHeightFormats="1" dataCaption="Values" tag="38f14f80-f6eb-499d-be71-f4c4ba86a4d3" updatedVersion="8" minRefreshableVersion="3" subtotalHiddenItems="1" rowGrandTotals="0" colGrandTotals="0" itemPrintTitles="1" createdVersion="8" indent="0" outline="1" outlineData="1" multipleFieldFilters="0" chartFormat="24">
  <location ref="I5:J36" firstHeaderRow="1" firstDataRow="1" firstDataCol="1"/>
  <pivotFields count="4">
    <pivotField axis="axisRow" allDrilled="1" subtotalTop="0" showAll="0" dataSourceSort="1" defaultSubtotal="0" defaultAttributeDrillState="1">
      <items count="31">
        <item x="0"/>
        <item x="1"/>
        <item x="2"/>
        <item x="3"/>
        <item x="4"/>
        <item x="5"/>
        <item x="6"/>
        <item x="7"/>
        <item x="8"/>
        <item x="9"/>
        <item x="10"/>
        <item x="11"/>
        <item x="12"/>
        <item x="13"/>
        <item x="14"/>
        <item x="15"/>
        <item x="16"/>
        <item x="17"/>
        <item x="18"/>
        <item x="19"/>
        <item x="20"/>
        <item x="21"/>
        <item x="22"/>
        <item x="23"/>
        <item x="24"/>
        <item x="25"/>
        <item x="26"/>
        <item x="27"/>
        <item x="28"/>
        <item x="29"/>
        <item x="30"/>
      </items>
    </pivotField>
    <pivotField allDrilled="1" subtotalTop="0" showAll="0" dataSourceSort="1" defaultSubtotal="0" defaultAttributeDrillState="1"/>
    <pivotField dataField="1" subtotalTop="0" showAll="0" defaultSubtotal="0"/>
    <pivotField allDrilled="1" subtotalTop="0" showAll="0" dataSourceSort="1" defaultSubtotal="0" defaultAttributeDrillState="1"/>
  </pivotFields>
  <rowFields count="1">
    <field x="0"/>
  </rowFields>
  <rowItems count="3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rowItems>
  <colItems count="1">
    <i/>
  </colItems>
  <dataFields count="1">
    <dataField name="Average of Patient Waittime" fld="2" subtotal="average" baseField="0" baseItem="0" numFmtId="2"/>
  </dataFields>
  <formats count="1">
    <format dxfId="2">
      <pivotArea outline="0" collapsedLevelsAreSubtotals="1" fieldPosition="0"/>
    </format>
  </formats>
  <chartFormats count="4">
    <chartFormat chart="13" format="6" series="1">
      <pivotArea type="data" outline="0" fieldPosition="0">
        <references count="1">
          <reference field="4294967294" count="1" selected="0">
            <x v="0"/>
          </reference>
        </references>
      </pivotArea>
    </chartFormat>
    <chartFormat chart="8" format="3" series="1">
      <pivotArea type="data" outline="0" fieldPosition="0">
        <references count="1">
          <reference field="4294967294" count="1" selected="0">
            <x v="0"/>
          </reference>
        </references>
      </pivotArea>
    </chartFormat>
    <chartFormat chart="19" format="2" series="1">
      <pivotArea type="data" outline="0" fieldPosition="0">
        <references count="1">
          <reference field="4294967294" count="1" selected="0">
            <x v="0"/>
          </reference>
        </references>
      </pivotArea>
    </chartFormat>
    <chartFormat chart="21" format="4" series="1">
      <pivotArea type="data" outline="0" fieldPosition="0">
        <references count="1">
          <reference field="4294967294" count="1" selected="0">
            <x v="0"/>
          </reference>
        </references>
      </pivotArea>
    </chartFormat>
  </chartFormats>
  <pivotHierarchies count="35">
    <pivotHierarchy dragToData="1"/>
    <pivotHierarchy multipleItemSelectionAllowed="1" dragToData="1">
      <members count="1" level="1">
        <member name="[Calendar_Table].[Date (Month)].&amp;[May]"/>
      </members>
    </pivotHierarchy>
    <pivotHierarchy dragToData="1"/>
    <pivotHierarchy multipleItemSelectionAllowed="1" dragToData="1">
      <members count="1" level="1">
        <member name="[Calendar_Table].[Date (Year)].&amp;[202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A0B9DDA-3404-47BC-AD87-5C15A7E4A5E8}" name="PivotTable8" cacheId="10" applyNumberFormats="0" applyBorderFormats="0" applyFontFormats="0" applyPatternFormats="0" applyAlignmentFormats="0" applyWidthHeightFormats="1" dataCaption="Values" tag="f0ce8773-17e4-464a-b9cf-005697d36b8c" updatedVersion="8" minRefreshableVersion="3" subtotalHiddenItems="1" itemPrintTitles="1" createdVersion="8" indent="0" outline="1" outlineData="1" multipleFieldFilters="0" chartFormat="8">
  <location ref="C67:D70" firstHeaderRow="1" firstDataRow="1" firstDataCol="1"/>
  <pivotFields count="4">
    <pivotField allDrilled="1" subtotalTop="0" showAll="0" dataSourceSort="1" defaultSubtotal="0" defaultAttributeDrillState="1"/>
    <pivotField axis="axisRow" allDrilled="1" subtotalTop="0" showAll="0" dataSourceSort="1" defaultSubtotal="0" defaultAttributeDrillState="1">
      <items count="2">
        <item x="0"/>
        <item x="1"/>
      </items>
    </pivotField>
    <pivotField dataField="1" subtotalTop="0" showAll="0" defaultSubtotal="0"/>
    <pivotField allDrilled="1" subtotalTop="0" showAll="0" dataSourceSort="1" defaultSubtotal="0" defaultAttributeDrillState="1"/>
  </pivotFields>
  <rowFields count="1">
    <field x="1"/>
  </rowFields>
  <rowItems count="3">
    <i>
      <x/>
    </i>
    <i>
      <x v="1"/>
    </i>
    <i t="grand">
      <x/>
    </i>
  </rowItems>
  <colItems count="1">
    <i/>
  </colItems>
  <dataFields count="1">
    <dataField name="Count of Patient attend Status" fld="2" subtotal="count" baseField="0" baseItem="0"/>
  </dataFields>
  <formats count="2">
    <format dxfId="4">
      <pivotArea outline="0" collapsedLevelsAreSubtotals="1" fieldPosition="0"/>
    </format>
    <format dxfId="3">
      <pivotArea collapsedLevelsAreSubtotals="1" fieldPosition="0">
        <references count="1">
          <reference field="1" count="0"/>
        </references>
      </pivotArea>
    </format>
  </formats>
  <chartFormats count="3">
    <chartFormat chart="6" format="4" series="1">
      <pivotArea type="data" outline="0" fieldPosition="0">
        <references count="1">
          <reference field="4294967294" count="1" selected="0">
            <x v="0"/>
          </reference>
        </references>
      </pivotArea>
    </chartFormat>
    <chartFormat chart="6" format="5">
      <pivotArea type="data" outline="0" fieldPosition="0">
        <references count="2">
          <reference field="4294967294" count="1" selected="0">
            <x v="0"/>
          </reference>
          <reference field="1" count="1" selected="0">
            <x v="0"/>
          </reference>
        </references>
      </pivotArea>
    </chartFormat>
    <chartFormat chart="6" format="6">
      <pivotArea type="data" outline="0" fieldPosition="0">
        <references count="2">
          <reference field="4294967294" count="1" selected="0">
            <x v="0"/>
          </reference>
          <reference field="1" count="1" selected="0">
            <x v="1"/>
          </reference>
        </references>
      </pivotArea>
    </chartFormat>
  </chartFormats>
  <pivotHierarchies count="35">
    <pivotHierarchy dragToData="1"/>
    <pivotHierarchy multipleItemSelectionAllowed="1" dragToData="1">
      <members count="1" level="1">
        <member name="[Calendar_Table].[Date (Month)].&amp;[May]"/>
      </members>
    </pivotHierarchy>
    <pivotHierarchy dragToData="1"/>
    <pivotHierarchy multipleItemSelectionAllowed="1" dragToData="1">
      <members count="1" level="1">
        <member name="[Calendar_Table].[Date (Year)].&amp;[202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caption="Average of Patient Satisfaction Score"/>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8912D47-5D93-4B23-852B-C27BA98E8392}" name="PivotTable5" cacheId="6" applyNumberFormats="0" applyBorderFormats="0" applyFontFormats="0" applyPatternFormats="0" applyAlignmentFormats="0" applyWidthHeightFormats="1" dataCaption="Values" tag="f0ce8773-17e4-464a-b9cf-005697d36b8c" updatedVersion="8" minRefreshableVersion="3" subtotalHiddenItems="1" itemPrintTitles="1" createdVersion="8" indent="0" outline="1" outlineData="1" multipleFieldFilters="0">
  <location ref="G20:G21" firstHeaderRow="1" firstDataRow="1" firstDataCol="0"/>
  <pivotFields count="3">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Average of Patient Satisfaction Score" fld="0" subtotal="average" baseField="0" baseItem="0"/>
  </dataFields>
  <formats count="1">
    <format dxfId="5">
      <pivotArea outline="0" collapsedLevelsAreSubtotals="1" fieldPosition="0"/>
    </format>
  </formats>
  <pivotHierarchies count="35">
    <pivotHierarchy dragToData="1"/>
    <pivotHierarchy multipleItemSelectionAllowed="1" dragToData="1">
      <members count="1" level="1">
        <member name="[Calendar_Table].[Date (Month)].&amp;[May]"/>
      </members>
    </pivotHierarchy>
    <pivotHierarchy dragToData="1"/>
    <pivotHierarchy multipleItemSelectionAllowed="1" dragToData="1">
      <members count="1" level="1">
        <member name="[Calendar_Table].[Date (Year)].&amp;[202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caption="Average of Patient Satisfaction Score"/>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6245AEA-E6E5-402A-ABA7-2F94F4CF5F85}" name="PivotTable7" cacheId="9" applyNumberFormats="0" applyBorderFormats="0" applyFontFormats="0" applyPatternFormats="0" applyAlignmentFormats="0" applyWidthHeightFormats="1" dataCaption="Values" tag="f0ce8773-17e4-464a-b9cf-005697d36b8c" updatedVersion="8" minRefreshableVersion="3" subtotalHiddenItems="1" itemPrintTitles="1" createdVersion="8" indent="0" outline="1" outlineData="1" multipleFieldFilters="0" chartFormat="4">
  <location ref="C53:D62" firstHeaderRow="1" firstDataRow="1" firstDataCol="1"/>
  <pivotFields count="4">
    <pivotField allDrilled="1" subtotalTop="0" showAll="0" dataSourceSort="1" defaultSubtotal="0" defaultAttributeDrillState="1"/>
    <pivotField axis="axisRow" allDrilled="1" subtotalTop="0" showAll="0" dataSourceSort="1" defaultSubtotal="0" defaultAttributeDrillState="1">
      <items count="8">
        <item x="0"/>
        <item x="1"/>
        <item x="2"/>
        <item x="3"/>
        <item x="4"/>
        <item x="5"/>
        <item x="6"/>
        <item x="7"/>
      </items>
    </pivotField>
    <pivotField dataField="1" subtotalTop="0" showAll="0" defaultSubtotal="0"/>
    <pivotField allDrilled="1" subtotalTop="0" showAll="0" dataSourceSort="1" defaultSubtotal="0" defaultAttributeDrillState="1"/>
  </pivotFields>
  <rowFields count="1">
    <field x="1"/>
  </rowFields>
  <rowItems count="9">
    <i>
      <x/>
    </i>
    <i>
      <x v="1"/>
    </i>
    <i>
      <x v="2"/>
    </i>
    <i>
      <x v="3"/>
    </i>
    <i>
      <x v="4"/>
    </i>
    <i>
      <x v="5"/>
    </i>
    <i>
      <x v="6"/>
    </i>
    <i>
      <x v="7"/>
    </i>
    <i t="grand">
      <x/>
    </i>
  </rowItems>
  <colItems count="1">
    <i/>
  </colItems>
  <dataFields count="1">
    <dataField name="Count of Age Group" fld="2" subtotal="count" baseField="0" baseItem="0"/>
  </dataFields>
  <formats count="1">
    <format dxfId="6">
      <pivotArea outline="0" collapsedLevelsAreSubtotals="1" fieldPosition="0"/>
    </format>
  </formats>
  <chartFormats count="1">
    <chartFormat chart="3" format="2" series="1">
      <pivotArea type="data" outline="0" fieldPosition="0">
        <references count="1">
          <reference field="4294967294" count="1" selected="0">
            <x v="0"/>
          </reference>
        </references>
      </pivotArea>
    </chartFormat>
  </chartFormats>
  <pivotHierarchies count="35">
    <pivotHierarchy dragToData="1"/>
    <pivotHierarchy multipleItemSelectionAllowed="1" dragToData="1">
      <members count="1" level="1">
        <member name="[Calendar_Table].[Date (Month)].&amp;[May]"/>
      </members>
    </pivotHierarchy>
    <pivotHierarchy dragToData="1"/>
    <pivotHierarchy multipleItemSelectionAllowed="1" dragToData="1">
      <members count="1" level="1">
        <member name="[Calendar_Table].[Date (Year)].&amp;[202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caption="Average of Patient Satisfaction Score"/>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4EE2A9D-13AE-4A04-B4D1-ED4DF0908FB8}" name="PivotTable4" cacheId="5" applyNumberFormats="0" applyBorderFormats="0" applyFontFormats="0" applyPatternFormats="0" applyAlignmentFormats="0" applyWidthHeightFormats="1" dataCaption="Values" tag="f16e9882-169a-4332-b8c5-536980db24d0" updatedVersion="8" minRefreshableVersion="3" subtotalHiddenItems="1" itemPrintTitles="1" createdVersion="8" indent="0" outline="1" outlineData="1" multipleFieldFilters="0">
  <location ref="G14:G15" firstHeaderRow="1" firstDataRow="1" firstDataCol="0"/>
  <pivotFields count="3">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Average of Patient Waittime" fld="0" subtotal="average" baseField="0" baseItem="0" numFmtId="2"/>
  </dataFields>
  <formats count="1">
    <format dxfId="7">
      <pivotArea outline="0" collapsedLevelsAreSubtotals="1" fieldPosition="0"/>
    </format>
  </formats>
  <pivotHierarchies count="35">
    <pivotHierarchy dragToData="1"/>
    <pivotHierarchy multipleItemSelectionAllowed="1" dragToData="1">
      <members count="1" level="1">
        <member name="[Calendar_Table].[Date (Month)].&amp;[May]"/>
      </members>
    </pivotHierarchy>
    <pivotHierarchy dragToData="1"/>
    <pivotHierarchy multipleItemSelectionAllowed="1" dragToData="1">
      <members count="1" level="1">
        <member name="[Calendar_Table].[Date (Year)].&amp;[202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48F76D0-7587-4A6B-8A25-4D0B0F3498AB}" name="PivotTable11" cacheId="13" applyNumberFormats="0" applyBorderFormats="0" applyFontFormats="0" applyPatternFormats="0" applyAlignmentFormats="0" applyWidthHeightFormats="1" dataCaption="Values" tag="f0ce8773-17e4-464a-b9cf-005697d36b8c" updatedVersion="8" minRefreshableVersion="3" subtotalHiddenItems="1" itemPrintTitles="1" createdVersion="8" indent="0" outline="1" outlineData="1" multipleFieldFilters="0" chartFormat="19">
  <location ref="C107:C142" firstHeaderRow="1" firstDataRow="1" firstDataCol="1"/>
  <pivotFields count="4">
    <pivotField axis="axisRow" allDrilled="1" subtotalTop="0" showAll="0" dataSourceSort="1" defaultSubtotal="0" defaultAttributeDrillState="1">
      <items count="1">
        <item s="1" x="0"/>
      </items>
    </pivotField>
    <pivotField axis="axisRow" allDrilled="1" subtotalTop="0" showAll="0" dataSourceSort="1" defaultSubtotal="0" defaultAttributeDrillState="1">
      <items count="31">
        <item x="0"/>
        <item x="1"/>
        <item x="2"/>
        <item x="3"/>
        <item x="4"/>
        <item x="5"/>
        <item x="6"/>
        <item x="7"/>
        <item x="8"/>
        <item x="9"/>
        <item x="10"/>
        <item x="11"/>
        <item x="12"/>
        <item x="13"/>
        <item x="14"/>
        <item x="15"/>
        <item x="16"/>
        <item x="17"/>
        <item x="18"/>
        <item x="19"/>
        <item x="20"/>
        <item x="21"/>
        <item x="22"/>
        <item x="23"/>
        <item x="24"/>
        <item x="25"/>
        <item x="26"/>
        <item x="27"/>
        <item x="28"/>
        <item x="29"/>
        <item x="30"/>
      </items>
    </pivotField>
    <pivotField axis="axisRow" allDrilled="1" subtotalTop="0" showAll="0" dataSourceSort="1" defaultSubtotal="0" defaultAttributeDrillState="1">
      <items count="1">
        <item x="0"/>
      </items>
    </pivotField>
    <pivotField axis="axisRow" allDrilled="1" subtotalTop="0" showAll="0" dataSourceSort="1" defaultSubtotal="0" defaultAttributeDrillState="1">
      <items count="1">
        <item s="1" x="0"/>
      </items>
    </pivotField>
  </pivotFields>
  <rowFields count="4">
    <field x="3"/>
    <field x="2"/>
    <field x="0"/>
    <field x="1"/>
  </rowFields>
  <rowItems count="35">
    <i>
      <x/>
    </i>
    <i r="1">
      <x/>
    </i>
    <i r="2">
      <x/>
    </i>
    <i r="3">
      <x/>
    </i>
    <i r="3">
      <x v="1"/>
    </i>
    <i r="3">
      <x v="2"/>
    </i>
    <i r="3">
      <x v="3"/>
    </i>
    <i r="3">
      <x v="4"/>
    </i>
    <i r="3">
      <x v="5"/>
    </i>
    <i r="3">
      <x v="6"/>
    </i>
    <i r="3">
      <x v="7"/>
    </i>
    <i r="3">
      <x v="8"/>
    </i>
    <i r="3">
      <x v="9"/>
    </i>
    <i r="3">
      <x v="10"/>
    </i>
    <i r="3">
      <x v="11"/>
    </i>
    <i r="3">
      <x v="12"/>
    </i>
    <i r="3">
      <x v="13"/>
    </i>
    <i r="3">
      <x v="14"/>
    </i>
    <i r="3">
      <x v="15"/>
    </i>
    <i r="3">
      <x v="16"/>
    </i>
    <i r="3">
      <x v="17"/>
    </i>
    <i r="3">
      <x v="18"/>
    </i>
    <i r="3">
      <x v="19"/>
    </i>
    <i r="3">
      <x v="20"/>
    </i>
    <i r="3">
      <x v="21"/>
    </i>
    <i r="3">
      <x v="22"/>
    </i>
    <i r="3">
      <x v="23"/>
    </i>
    <i r="3">
      <x v="24"/>
    </i>
    <i r="3">
      <x v="25"/>
    </i>
    <i r="3">
      <x v="26"/>
    </i>
    <i r="3">
      <x v="27"/>
    </i>
    <i r="3">
      <x v="28"/>
    </i>
    <i r="3">
      <x v="29"/>
    </i>
    <i r="3">
      <x v="30"/>
    </i>
    <i t="grand">
      <x/>
    </i>
  </rowItems>
  <formats count="1">
    <format dxfId="8">
      <pivotArea outline="0" collapsedLevelsAreSubtotals="1" fieldPosition="0"/>
    </format>
  </formats>
  <pivotHierarchies count="35">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caption="Average of Patient Satisfaction Score"/>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4">
    <rowHierarchyUsage hierarchyUsage="3"/>
    <rowHierarchyUsage hierarchyUsage="4"/>
    <rowHierarchyUsage hierarchyUsage="1"/>
    <rowHierarchyUsage hierarchyUsage="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433E8A6-3A16-47C3-90DA-7DD6D2A4F6D7}" name="PivotTable6" cacheId="8" applyNumberFormats="0" applyBorderFormats="0" applyFontFormats="0" applyPatternFormats="0" applyAlignmentFormats="0" applyWidthHeightFormats="1" dataCaption="Values" tag="f0ce8773-17e4-464a-b9cf-005697d36b8c" updatedVersion="8" minRefreshableVersion="3" subtotalHiddenItems="1" itemPrintTitles="1" createdVersion="8" indent="0" outline="1" outlineData="1" multipleFieldFilters="0" chartFormat="1">
  <location ref="C38:E41" firstHeaderRow="0" firstDataRow="1" firstDataCol="1"/>
  <pivotFields count="5">
    <pivotField allDrilled="1" subtotalTop="0" showAll="0" dataSourceSort="1" defaultSubtotal="0" defaultAttributeDrillState="1"/>
    <pivotField dataField="1" subtotalTop="0" showAll="0" defaultSubtotal="0"/>
    <pivotField axis="axisRow" allDrilled="1" subtotalTop="0" showAll="0" dataSourceSort="1" defaultSubtotal="0" defaultAttributeDrillState="1">
      <items count="2">
        <item x="0"/>
        <item x="1"/>
      </items>
    </pivotField>
    <pivotField allDrilled="1"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2"/>
  </rowFields>
  <rowItems count="3">
    <i>
      <x/>
    </i>
    <i>
      <x v="1"/>
    </i>
    <i t="grand">
      <x/>
    </i>
  </rowItems>
  <colFields count="1">
    <field x="-2"/>
  </colFields>
  <colItems count="2">
    <i>
      <x/>
    </i>
    <i i="1">
      <x v="1"/>
    </i>
  </colItems>
  <dataFields count="2">
    <dataField name="Count of Patient Admission Flag" fld="1" subtotal="count" baseField="0" baseItem="0"/>
    <dataField name="Count of Patient Admission Flag2" fld="4" subtotal="count" showDataAs="percentOfTotal" baseField="0" baseItem="0" numFmtId="10">
      <extLst>
        <ext xmlns:x14="http://schemas.microsoft.com/office/spreadsheetml/2009/9/main" uri="{E15A36E0-9728-4e99-A89B-3F7291B0FE68}">
          <x14:dataField sourceField="1" uniqueName="[__Xl2].[Measures].[Count of Patient Admission Flag]"/>
        </ext>
      </extLst>
    </dataField>
  </dataFields>
  <formats count="3">
    <format dxfId="11">
      <pivotArea outline="0" collapsedLevelsAreSubtotals="1" fieldPosition="0"/>
    </format>
    <format dxfId="10">
      <pivotArea collapsedLevelsAreSubtotals="1" fieldPosition="0">
        <references count="1">
          <reference field="2" count="0"/>
        </references>
      </pivotArea>
    </format>
    <format dxfId="9">
      <pivotArea outline="0" fieldPosition="0">
        <references count="1">
          <reference field="4294967294" count="1">
            <x v="1"/>
          </reference>
        </references>
      </pivotArea>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pivotArea type="data" outline="0" fieldPosition="0">
        <references count="2">
          <reference field="4294967294" count="1" selected="0">
            <x v="0"/>
          </reference>
          <reference field="2" count="1" selected="0">
            <x v="0"/>
          </reference>
        </references>
      </pivotArea>
    </chartFormat>
    <chartFormat chart="0" format="3">
      <pivotArea type="data" outline="0" fieldPosition="0">
        <references count="2">
          <reference field="4294967294" count="1" selected="0">
            <x v="0"/>
          </reference>
          <reference field="2" count="1" selected="0">
            <x v="1"/>
          </reference>
        </references>
      </pivotArea>
    </chartFormat>
  </chartFormats>
  <pivotHierarchies count="36">
    <pivotHierarchy dragToData="1"/>
    <pivotHierarchy multipleItemSelectionAllowed="1" dragToData="1">
      <members count="1" level="1">
        <member name="[Calendar_Table].[Date (Month)].&amp;[May]"/>
      </members>
    </pivotHierarchy>
    <pivotHierarchy dragToData="1"/>
    <pivotHierarchy multipleItemSelectionAllowed="1" dragToData="1">
      <members count="1" level="1">
        <member name="[Calendar_Table].[Date (Year)].&amp;[202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caption="Average of Patient Satisfaction Score"/>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1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ACB2364-6C70-41FE-B6FA-8B9BECEFCD2A}" name="PivotTable2" cacheId="7" applyNumberFormats="0" applyBorderFormats="0" applyFontFormats="0" applyPatternFormats="0" applyAlignmentFormats="0" applyWidthHeightFormats="1" dataCaption="Values" tag="38f14f80-f6eb-499d-be71-f4c4ba86a4d3" updatedVersion="8" minRefreshableVersion="3" subtotalHiddenItems="1" rowGrandTotals="0" colGrandTotals="0" itemPrintTitles="1" createdVersion="8" indent="0" outline="1" outlineData="1" multipleFieldFilters="0" chartFormat="29">
  <location ref="M5:N36" firstHeaderRow="1" firstDataRow="1" firstDataCol="1"/>
  <pivotFields count="4">
    <pivotField axis="axisRow" allDrilled="1" subtotalTop="0" showAll="0" dataSourceSort="1" defaultSubtotal="0" defaultAttributeDrillState="1">
      <items count="31">
        <item x="0"/>
        <item x="1"/>
        <item x="2"/>
        <item x="3"/>
        <item x="4"/>
        <item x="5"/>
        <item x="6"/>
        <item x="7"/>
        <item x="8"/>
        <item x="9"/>
        <item x="10"/>
        <item x="11"/>
        <item x="12"/>
        <item x="13"/>
        <item x="14"/>
        <item x="15"/>
        <item x="16"/>
        <item x="17"/>
        <item x="18"/>
        <item x="19"/>
        <item x="20"/>
        <item x="21"/>
        <item x="22"/>
        <item x="23"/>
        <item x="24"/>
        <item x="25"/>
        <item x="26"/>
        <item x="27"/>
        <item x="28"/>
        <item x="29"/>
        <item x="30"/>
      </items>
    </pivotField>
    <pivotField allDrilled="1" subtotalTop="0" showAll="0" dataSourceSort="1" defaultSubtotal="0" defaultAttributeDrillState="1"/>
    <pivotField dataField="1" subtotalTop="0" showAll="0" defaultSubtotal="0"/>
    <pivotField allDrilled="1" subtotalTop="0" showAll="0" dataSourceSort="1" defaultSubtotal="0" defaultAttributeDrillState="1"/>
  </pivotFields>
  <rowFields count="1">
    <field x="0"/>
  </rowFields>
  <rowItems count="3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rowItems>
  <colItems count="1">
    <i/>
  </colItems>
  <dataFields count="1">
    <dataField name="Average of Patient Satisfaction Score" fld="2" subtotal="average" baseField="0" baseItem="0"/>
  </dataFields>
  <formats count="1">
    <format dxfId="12">
      <pivotArea outline="0" collapsedLevelsAreSubtotals="1" fieldPosition="0"/>
    </format>
  </formats>
  <chartFormats count="2">
    <chartFormat chart="26" format="2" series="1">
      <pivotArea type="data" outline="0" fieldPosition="0">
        <references count="1">
          <reference field="4294967294" count="1" selected="0">
            <x v="0"/>
          </reference>
        </references>
      </pivotArea>
    </chartFormat>
    <chartFormat chart="27" format="2" series="1">
      <pivotArea type="data" outline="0" fieldPosition="0">
        <references count="1">
          <reference field="4294967294" count="1" selected="0">
            <x v="0"/>
          </reference>
        </references>
      </pivotArea>
    </chartFormat>
  </chartFormats>
  <pivotHierarchies count="35">
    <pivotHierarchy dragToData="1"/>
    <pivotHierarchy multipleItemSelectionAllowed="1" dragToData="1">
      <members count="1" level="1">
        <member name="[Calendar_Table].[Date (Month)].&amp;[May]"/>
      </members>
    </pivotHierarchy>
    <pivotHierarchy dragToData="1"/>
    <pivotHierarchy multipleItemSelectionAllowed="1" dragToData="1">
      <members count="1" level="1">
        <member name="[Calendar_Table].[Date (Year)].&amp;[202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caption="Average of Patient Satisfaction Score"/>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462280D-2C68-4612-A07F-EBFFAB3B45E7}" name="PivotTable9" cacheId="11" applyNumberFormats="0" applyBorderFormats="0" applyFontFormats="0" applyPatternFormats="0" applyAlignmentFormats="0" applyWidthHeightFormats="1" dataCaption="Values" tag="f0ce8773-17e4-464a-b9cf-005697d36b8c" updatedVersion="8" minRefreshableVersion="3" subtotalHiddenItems="1" itemPrintTitles="1" createdVersion="8" indent="0" outline="1" outlineData="1" multipleFieldFilters="0" chartFormat="14">
  <location ref="C78:D81" firstHeaderRow="1" firstDataRow="1" firstDataCol="1"/>
  <pivotFields count="4">
    <pivotField allDrilled="1" subtotalTop="0" showAll="0" dataSourceSort="1" defaultSubtotal="0" defaultAttributeDrillState="1"/>
    <pivotField axis="axisRow" allDrilled="1" subtotalTop="0" showAll="0" dataSourceSort="1" defaultSubtotal="0" defaultAttributeDrillState="1">
      <items count="2">
        <item x="0"/>
        <item x="1"/>
      </items>
    </pivotField>
    <pivotField dataField="1" subtotalTop="0" showAll="0" defaultSubtotal="0"/>
    <pivotField allDrilled="1" subtotalTop="0" showAll="0" dataSourceSort="1" defaultSubtotal="0" defaultAttributeDrillState="1"/>
  </pivotFields>
  <rowFields count="1">
    <field x="1"/>
  </rowFields>
  <rowItems count="3">
    <i>
      <x/>
    </i>
    <i>
      <x v="1"/>
    </i>
    <i t="grand">
      <x/>
    </i>
  </rowItems>
  <colItems count="1">
    <i/>
  </colItems>
  <dataFields count="1">
    <dataField name="Count of Patient Gender" fld="2" subtotal="count" baseField="0" baseItem="0"/>
  </dataFields>
  <formats count="1">
    <format dxfId="13">
      <pivotArea outline="0" collapsedLevelsAreSubtotals="1" fieldPosition="0"/>
    </format>
  </formats>
  <chartFormats count="3">
    <chartFormat chart="12" format="4" series="1">
      <pivotArea type="data" outline="0" fieldPosition="0">
        <references count="1">
          <reference field="4294967294" count="1" selected="0">
            <x v="0"/>
          </reference>
        </references>
      </pivotArea>
    </chartFormat>
    <chartFormat chart="12" format="5">
      <pivotArea type="data" outline="0" fieldPosition="0">
        <references count="2">
          <reference field="4294967294" count="1" selected="0">
            <x v="0"/>
          </reference>
          <reference field="1" count="1" selected="0">
            <x v="0"/>
          </reference>
        </references>
      </pivotArea>
    </chartFormat>
    <chartFormat chart="12" format="6">
      <pivotArea type="data" outline="0" fieldPosition="0">
        <references count="2">
          <reference field="4294967294" count="1" selected="0">
            <x v="0"/>
          </reference>
          <reference field="1" count="1" selected="0">
            <x v="1"/>
          </reference>
        </references>
      </pivotArea>
    </chartFormat>
  </chartFormats>
  <pivotHierarchies count="35">
    <pivotHierarchy dragToData="1"/>
    <pivotHierarchy multipleItemSelectionAllowed="1" dragToData="1">
      <members count="1" level="1">
        <member name="[Calendar_Table].[Date (Month)].&amp;[May]"/>
      </members>
    </pivotHierarchy>
    <pivotHierarchy dragToData="1"/>
    <pivotHierarchy multipleItemSelectionAllowed="1" dragToData="1">
      <members count="1" level="1">
        <member name="[Calendar_Table].[Date (Year)].&amp;[202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caption="Average of Patient Satisfaction Score"/>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_Month" xr10:uid="{4C5AB467-19DB-407A-AED8-77DA7139E09E}" sourceName="[Calendar_Table].[Date (Month)]">
  <pivotTables>
    <pivotTable tabId="1" name="PivotTable1"/>
    <pivotTable tabId="1" name="PivotTable3"/>
    <pivotTable tabId="1" name="PivotTable4"/>
    <pivotTable tabId="1" name="PivotTable5"/>
    <pivotTable tabId="1" name="PivotTable2"/>
    <pivotTable tabId="1" name="PivotTable6"/>
    <pivotTable tabId="1" name="PivotTable7"/>
    <pivotTable tabId="1" name="PivotTable8"/>
    <pivotTable tabId="1" name="PivotTable9"/>
    <pivotTable tabId="1" name="PivotTable10"/>
    <pivotTable tabId="1" name="PivotTable11"/>
  </pivotTables>
  <data>
    <olap pivotCacheId="565550420">
      <levels count="2">
        <level uniqueName="[Calendar_Table].[Date (Month)].[(All)]" sourceCaption="(All)" count="0"/>
        <level uniqueName="[Calendar_Table].[Date (Month)].[Date (Month)]" sourceCaption="Date (Month)" count="12">
          <ranges>
            <range startItem="0">
              <i n="[Calendar_Table].[Date (Month)].&amp;[Jan]" c="Jan"/>
              <i n="[Calendar_Table].[Date (Month)].&amp;[Feb]" c="Feb"/>
              <i n="[Calendar_Table].[Date (Month)].&amp;[Mar]" c="Mar"/>
              <i n="[Calendar_Table].[Date (Month)].&amp;[Apr]" c="Apr"/>
              <i n="[Calendar_Table].[Date (Month)].&amp;[May]" c="May"/>
              <i n="[Calendar_Table].[Date (Month)].&amp;[Jun]" c="Jun"/>
              <i n="[Calendar_Table].[Date (Month)].&amp;[Jul]" c="Jul"/>
              <i n="[Calendar_Table].[Date (Month)].&amp;[Aug]" c="Aug"/>
              <i n="[Calendar_Table].[Date (Month)].&amp;[Sep]" c="Sep"/>
              <i n="[Calendar_Table].[Date (Month)].&amp;[Oct]" c="Oct"/>
              <i n="[Calendar_Table].[Date (Month)].&amp;[Nov]" c="Nov"/>
              <i n="[Calendar_Table].[Date (Month)].&amp;[Dec]" c="Dec"/>
            </range>
          </ranges>
        </level>
      </levels>
      <selections count="1">
        <selection n="[Calendar_Table].[Date (Month)].&amp;[May]"/>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_Year" xr10:uid="{5FAC5377-58E7-4D64-A145-446EB75BA8D8}" sourceName="[Calendar_Table].[Date (Year)]">
  <pivotTables>
    <pivotTable tabId="1" name="PivotTable11"/>
    <pivotTable tabId="1" name="PivotTable1"/>
    <pivotTable tabId="1" name="PivotTable10"/>
    <pivotTable tabId="1" name="PivotTable2"/>
    <pivotTable tabId="1" name="PivotTable3"/>
    <pivotTable tabId="1" name="PivotTable4"/>
    <pivotTable tabId="1" name="PivotTable5"/>
    <pivotTable tabId="1" name="PivotTable6"/>
    <pivotTable tabId="1" name="PivotTable7"/>
    <pivotTable tabId="1" name="PivotTable8"/>
    <pivotTable tabId="1" name="PivotTable9"/>
  </pivotTables>
  <data>
    <olap pivotCacheId="565550420">
      <levels count="2">
        <level uniqueName="[Calendar_Table].[Date (Year)].[(All)]" sourceCaption="(All)" count="0"/>
        <level uniqueName="[Calendar_Table].[Date (Year)].[Date (Year)]" sourceCaption="Date (Year)" count="2">
          <ranges>
            <range startItem="0">
              <i n="[Calendar_Table].[Date (Year)].&amp;[2023]" c="2023"/>
              <i n="[Calendar_Table].[Date (Year)].&amp;[2024]" c="2024"/>
            </range>
          </ranges>
        </level>
      </levels>
      <selections count="1">
        <selection n="[Calendar_Table].[Date (Year)].&amp;[2024]"/>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e (Month)" xr10:uid="{442DE44F-3819-497B-8845-DBFFD01BCFEF}" cache="Slicer_Date__Month" caption="Date (Month)" startItem="2" showCaption="0" level="1" style="SlicerStyleDark3" rowHeight="274320"/>
  <slicer name="Date (Year)" xr10:uid="{D9553EB1-102B-4DC4-B30E-F4F852426C0C}" cache="Slicer_Date__Year" caption="Date (Year)" columnCount="2" showCaption="0" level="1" style="SlicerStyleDark6" rowHeight="54864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drawing" Target="../drawings/drawing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4DFD9E-70A5-4AB8-8F82-98F3EA4E74DA}">
  <dimension ref="A1:AH34"/>
  <sheetViews>
    <sheetView tabSelected="1" zoomScaleNormal="100" workbookViewId="0">
      <selection activeCell="V11" sqref="V11"/>
    </sheetView>
  </sheetViews>
  <sheetFormatPr defaultRowHeight="14.4" x14ac:dyDescent="0.3"/>
  <sheetData>
    <row r="1" spans="1:34" x14ac:dyDescent="0.3">
      <c r="A1" s="2"/>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row>
    <row r="2" spans="1:34" x14ac:dyDescent="0.3">
      <c r="A2" s="2"/>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row>
    <row r="3" spans="1:34" x14ac:dyDescent="0.3">
      <c r="A3" s="2"/>
      <c r="B3" s="2"/>
      <c r="C3" s="2"/>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row>
    <row r="4" spans="1:34" x14ac:dyDescent="0.3">
      <c r="A4" s="2"/>
      <c r="B4" s="2"/>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row>
    <row r="5" spans="1:34" x14ac:dyDescent="0.3">
      <c r="A5" s="2"/>
      <c r="B5" s="2"/>
      <c r="C5" s="2"/>
      <c r="D5" s="2"/>
      <c r="E5" s="2"/>
      <c r="F5" s="2"/>
      <c r="G5" s="2"/>
      <c r="H5" s="2"/>
      <c r="I5" s="2"/>
      <c r="J5" s="2"/>
      <c r="K5" s="2"/>
      <c r="L5" s="2"/>
      <c r="M5" s="2"/>
      <c r="N5" s="2"/>
      <c r="O5" s="2"/>
      <c r="P5" s="2"/>
      <c r="Q5" s="2"/>
      <c r="R5" s="2"/>
      <c r="S5" s="2"/>
      <c r="T5" s="2"/>
      <c r="U5" s="2"/>
      <c r="V5" s="2"/>
      <c r="W5" s="2"/>
      <c r="X5" s="2"/>
      <c r="Y5" s="2"/>
      <c r="Z5" s="2"/>
      <c r="AA5" s="2"/>
      <c r="AB5" s="2"/>
      <c r="AC5" s="2"/>
      <c r="AD5" s="2"/>
      <c r="AE5" s="2"/>
      <c r="AF5" s="2"/>
      <c r="AG5" s="2"/>
      <c r="AH5" s="2"/>
    </row>
    <row r="6" spans="1:34" x14ac:dyDescent="0.3">
      <c r="A6" s="2"/>
      <c r="B6" s="2"/>
      <c r="C6" s="2"/>
      <c r="D6" s="2"/>
      <c r="E6" s="2"/>
      <c r="F6" s="2"/>
      <c r="G6" s="2"/>
      <c r="H6" s="2"/>
      <c r="I6" s="2"/>
      <c r="J6" s="2"/>
      <c r="K6" s="2"/>
      <c r="L6" s="2"/>
      <c r="M6" s="2"/>
      <c r="N6" s="2"/>
      <c r="O6" s="2"/>
      <c r="P6" s="2"/>
      <c r="Q6" s="2"/>
      <c r="R6" s="2"/>
      <c r="S6" s="2"/>
      <c r="T6" s="2"/>
      <c r="U6" s="2"/>
      <c r="V6" s="2"/>
      <c r="W6" s="2"/>
      <c r="X6" s="2"/>
      <c r="Y6" s="2"/>
      <c r="Z6" s="2"/>
      <c r="AA6" s="2"/>
      <c r="AB6" s="2"/>
      <c r="AC6" s="2"/>
      <c r="AD6" s="2"/>
      <c r="AE6" s="2"/>
      <c r="AF6" s="2"/>
      <c r="AG6" s="2"/>
      <c r="AH6" s="2"/>
    </row>
    <row r="7" spans="1:34" x14ac:dyDescent="0.3">
      <c r="A7" s="2"/>
      <c r="B7" s="2"/>
      <c r="C7" s="2"/>
      <c r="D7" s="2"/>
      <c r="E7" s="2"/>
      <c r="F7" s="2"/>
      <c r="G7" s="2"/>
      <c r="H7" s="2"/>
      <c r="I7" s="2"/>
      <c r="J7" s="2"/>
      <c r="K7" s="2"/>
      <c r="L7" s="2"/>
      <c r="M7" s="2"/>
      <c r="N7" s="2"/>
      <c r="O7" s="2"/>
      <c r="P7" s="2"/>
      <c r="Q7" s="2"/>
      <c r="R7" s="2"/>
      <c r="S7" s="2"/>
      <c r="T7" s="2"/>
      <c r="U7" s="2"/>
      <c r="V7" s="2"/>
      <c r="W7" s="2"/>
      <c r="X7" s="2"/>
      <c r="Y7" s="2"/>
      <c r="Z7" s="2"/>
      <c r="AA7" s="2"/>
      <c r="AB7" s="2"/>
      <c r="AC7" s="2"/>
      <c r="AD7" s="2"/>
      <c r="AE7" s="2"/>
      <c r="AF7" s="2"/>
      <c r="AG7" s="2"/>
      <c r="AH7" s="2"/>
    </row>
    <row r="8" spans="1:34" x14ac:dyDescent="0.3">
      <c r="A8" s="2"/>
      <c r="B8" s="2"/>
      <c r="C8" s="2"/>
      <c r="D8" s="2"/>
      <c r="E8" s="2"/>
      <c r="F8" s="2"/>
      <c r="G8" s="2"/>
      <c r="H8" s="2"/>
      <c r="I8" s="2"/>
      <c r="J8" s="2"/>
      <c r="K8" s="2"/>
      <c r="L8" s="2"/>
      <c r="M8" s="2"/>
      <c r="N8" s="2"/>
      <c r="O8" s="2"/>
      <c r="P8" s="2"/>
      <c r="Q8" s="2"/>
      <c r="R8" s="2"/>
      <c r="S8" s="2"/>
      <c r="T8" s="2"/>
      <c r="U8" s="2"/>
      <c r="V8" s="2"/>
      <c r="W8" s="2"/>
      <c r="X8" s="2"/>
      <c r="Y8" s="2"/>
      <c r="Z8" s="2"/>
      <c r="AA8" s="2"/>
      <c r="AB8" s="2"/>
      <c r="AC8" s="2"/>
      <c r="AD8" s="2"/>
      <c r="AE8" s="2"/>
      <c r="AF8" s="2"/>
      <c r="AG8" s="2"/>
      <c r="AH8" s="2"/>
    </row>
    <row r="9" spans="1:34" x14ac:dyDescent="0.3">
      <c r="A9" s="2"/>
      <c r="B9" s="2"/>
      <c r="C9" s="2"/>
      <c r="D9" s="2"/>
      <c r="E9" s="2"/>
      <c r="F9" s="2"/>
      <c r="G9" s="2"/>
      <c r="H9" s="2"/>
      <c r="I9" s="2"/>
      <c r="J9" s="2"/>
      <c r="K9" s="2"/>
      <c r="L9" s="2"/>
      <c r="M9" s="2"/>
      <c r="N9" s="2"/>
      <c r="O9" s="2"/>
      <c r="P9" s="2"/>
      <c r="Q9" s="2"/>
      <c r="R9" s="2"/>
      <c r="S9" s="2"/>
      <c r="T9" s="2"/>
      <c r="U9" s="2"/>
      <c r="V9" s="2"/>
      <c r="W9" s="2"/>
      <c r="X9" s="2"/>
      <c r="Y9" s="2"/>
      <c r="Z9" s="2"/>
      <c r="AA9" s="2"/>
      <c r="AB9" s="2"/>
      <c r="AC9" s="2"/>
      <c r="AD9" s="2"/>
      <c r="AE9" s="2"/>
      <c r="AF9" s="2"/>
      <c r="AG9" s="2"/>
      <c r="AH9" s="2"/>
    </row>
    <row r="10" spans="1:34" x14ac:dyDescent="0.3">
      <c r="A10" s="2"/>
      <c r="B10" s="2"/>
      <c r="C10" s="2"/>
      <c r="D10" s="2"/>
      <c r="E10" s="2"/>
      <c r="F10" s="2"/>
      <c r="G10" s="2"/>
      <c r="H10" s="2"/>
      <c r="I10" s="2"/>
      <c r="J10" s="2"/>
      <c r="K10" s="2"/>
      <c r="L10" s="2"/>
      <c r="M10" s="2"/>
      <c r="N10" s="2"/>
      <c r="O10" s="2"/>
      <c r="P10" s="2"/>
      <c r="Q10" s="2"/>
      <c r="R10" s="2"/>
      <c r="S10" s="2"/>
      <c r="T10" s="2"/>
      <c r="U10" s="2"/>
      <c r="V10" s="2"/>
      <c r="W10" s="2"/>
      <c r="X10" s="2"/>
      <c r="Y10" s="2"/>
      <c r="Z10" s="2"/>
      <c r="AA10" s="2"/>
      <c r="AB10" s="2"/>
      <c r="AC10" s="2"/>
      <c r="AD10" s="2"/>
      <c r="AE10" s="2"/>
      <c r="AF10" s="2"/>
      <c r="AG10" s="2"/>
      <c r="AH10" s="2"/>
    </row>
    <row r="11" spans="1:34" x14ac:dyDescent="0.3">
      <c r="A11" s="2"/>
      <c r="B11" s="2"/>
      <c r="C11" s="2"/>
      <c r="D11" s="2"/>
      <c r="E11" s="2"/>
      <c r="F11" s="2"/>
      <c r="G11" s="2"/>
      <c r="H11" s="2"/>
      <c r="I11" s="2"/>
      <c r="J11" s="2"/>
      <c r="K11" s="2"/>
      <c r="L11" s="2"/>
      <c r="M11" s="2"/>
      <c r="N11" s="2"/>
      <c r="O11" s="2"/>
      <c r="P11" s="2"/>
      <c r="Q11" s="2"/>
      <c r="R11" s="2"/>
      <c r="S11" s="2"/>
      <c r="T11" s="2"/>
      <c r="U11" s="2"/>
      <c r="V11" s="2"/>
      <c r="W11" s="2"/>
      <c r="X11" s="2"/>
      <c r="Y11" s="2"/>
      <c r="Z11" s="2"/>
      <c r="AA11" s="2"/>
      <c r="AB11" s="2"/>
      <c r="AC11" s="2"/>
      <c r="AD11" s="2"/>
      <c r="AE11" s="2"/>
      <c r="AF11" s="2"/>
      <c r="AG11" s="2"/>
      <c r="AH11" s="2"/>
    </row>
    <row r="12" spans="1:34" x14ac:dyDescent="0.3">
      <c r="A12" s="2"/>
      <c r="B12" s="2"/>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
    </row>
    <row r="13" spans="1:34" x14ac:dyDescent="0.3">
      <c r="A13" s="2"/>
      <c r="B13" s="2"/>
      <c r="C13" s="2"/>
      <c r="D13" s="2"/>
      <c r="E13" s="2"/>
      <c r="F13" s="2"/>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row>
    <row r="14" spans="1:34" x14ac:dyDescent="0.3">
      <c r="A14" s="2"/>
      <c r="B14" s="2"/>
      <c r="C14" s="2"/>
      <c r="D14" s="2"/>
      <c r="E14" s="2"/>
      <c r="F14" s="2"/>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row>
    <row r="15" spans="1:34" x14ac:dyDescent="0.3">
      <c r="A15" s="2"/>
      <c r="B15" s="2"/>
      <c r="C15" s="2"/>
      <c r="D15" s="2"/>
      <c r="E15" s="2"/>
      <c r="F15" s="2"/>
      <c r="G15" s="2"/>
      <c r="H15" s="2"/>
      <c r="I15" s="2"/>
      <c r="J15" s="2"/>
      <c r="K15" s="2"/>
      <c r="L15" s="2"/>
      <c r="M15" s="2"/>
      <c r="N15" s="2"/>
      <c r="O15" s="2"/>
      <c r="P15" s="2"/>
      <c r="Q15" s="2"/>
      <c r="R15" s="2"/>
      <c r="S15" s="2"/>
      <c r="T15" s="2"/>
      <c r="U15" s="2"/>
      <c r="V15" s="2"/>
      <c r="W15" s="2"/>
      <c r="X15" s="2"/>
      <c r="Y15" s="2"/>
      <c r="Z15" s="2"/>
      <c r="AA15" s="2"/>
      <c r="AB15" s="2"/>
      <c r="AC15" s="2"/>
      <c r="AD15" s="2"/>
      <c r="AE15" s="2"/>
      <c r="AF15" s="2"/>
      <c r="AG15" s="2"/>
      <c r="AH15" s="2"/>
    </row>
    <row r="16" spans="1:34" x14ac:dyDescent="0.3">
      <c r="A16" s="2"/>
      <c r="B16" s="2"/>
      <c r="C16" s="2"/>
      <c r="D16" s="2"/>
      <c r="E16" s="2"/>
      <c r="F16" s="2"/>
      <c r="G16" s="2"/>
      <c r="H16" s="2"/>
      <c r="I16" s="2"/>
      <c r="J16" s="2"/>
      <c r="K16" s="2"/>
      <c r="L16" s="2"/>
      <c r="M16" s="2"/>
      <c r="N16" s="2"/>
      <c r="O16" s="2"/>
      <c r="P16" s="2"/>
      <c r="Q16" s="2"/>
      <c r="R16" s="2"/>
      <c r="S16" s="2"/>
      <c r="T16" s="2"/>
      <c r="U16" s="2"/>
      <c r="V16" s="2"/>
      <c r="W16" s="2"/>
      <c r="X16" s="2"/>
      <c r="Y16" s="2"/>
      <c r="Z16" s="2"/>
      <c r="AA16" s="2"/>
      <c r="AB16" s="2"/>
      <c r="AC16" s="2"/>
      <c r="AD16" s="2"/>
      <c r="AE16" s="2"/>
      <c r="AF16" s="2"/>
      <c r="AG16" s="2"/>
      <c r="AH16" s="2"/>
    </row>
    <row r="17" spans="1:34" x14ac:dyDescent="0.3">
      <c r="A17" s="2"/>
      <c r="B17" s="2"/>
      <c r="C17" s="2"/>
      <c r="D17" s="2"/>
      <c r="E17" s="2"/>
      <c r="F17" s="2"/>
      <c r="G17" s="2"/>
      <c r="H17" s="2"/>
      <c r="I17" s="2"/>
      <c r="J17" s="2"/>
      <c r="K17" s="2"/>
      <c r="L17" s="2"/>
      <c r="M17" s="2"/>
      <c r="N17" s="2"/>
      <c r="O17" s="2"/>
      <c r="P17" s="2"/>
      <c r="Q17" s="2"/>
      <c r="R17" s="2"/>
      <c r="S17" s="2"/>
      <c r="T17" s="2"/>
      <c r="U17" s="2"/>
      <c r="V17" s="2"/>
      <c r="W17" s="2"/>
      <c r="X17" s="2"/>
      <c r="Y17" s="2"/>
      <c r="Z17" s="2"/>
      <c r="AA17" s="2"/>
      <c r="AB17" s="2"/>
      <c r="AC17" s="2"/>
      <c r="AD17" s="2"/>
      <c r="AE17" s="2"/>
      <c r="AF17" s="2"/>
      <c r="AG17" s="2"/>
      <c r="AH17" s="2"/>
    </row>
    <row r="18" spans="1:34" x14ac:dyDescent="0.3">
      <c r="A18" s="2"/>
      <c r="B18" s="2"/>
      <c r="C18" s="2"/>
      <c r="D18" s="2"/>
      <c r="E18" s="2"/>
      <c r="F18" s="2"/>
      <c r="G18" s="2"/>
      <c r="H18" s="2"/>
      <c r="I18" s="2"/>
      <c r="J18" s="2"/>
      <c r="K18" s="2"/>
      <c r="L18" s="2"/>
      <c r="M18" s="2"/>
      <c r="N18" s="2"/>
      <c r="O18" s="2"/>
      <c r="P18" s="2"/>
      <c r="Q18" s="2"/>
      <c r="R18" s="2"/>
      <c r="S18" s="2"/>
      <c r="T18" s="2"/>
      <c r="U18" s="2"/>
      <c r="V18" s="2"/>
      <c r="W18" s="2"/>
      <c r="X18" s="2"/>
      <c r="Y18" s="2"/>
      <c r="Z18" s="2"/>
      <c r="AA18" s="2"/>
      <c r="AB18" s="2"/>
      <c r="AC18" s="2"/>
      <c r="AD18" s="2"/>
      <c r="AE18" s="2"/>
      <c r="AF18" s="2"/>
      <c r="AG18" s="2"/>
      <c r="AH18" s="2"/>
    </row>
    <row r="19" spans="1:34" x14ac:dyDescent="0.3">
      <c r="A19" s="2"/>
      <c r="B19" s="2"/>
      <c r="C19" s="2"/>
      <c r="D19" s="2"/>
      <c r="E19" s="2"/>
      <c r="F19" s="2"/>
      <c r="G19" s="2"/>
      <c r="H19" s="2"/>
      <c r="I19" s="2"/>
      <c r="J19" s="2"/>
      <c r="K19" s="2"/>
      <c r="L19" s="2"/>
      <c r="M19" s="2"/>
      <c r="N19" s="2"/>
      <c r="O19" s="2"/>
      <c r="P19" s="2"/>
      <c r="Q19" s="2"/>
      <c r="R19" s="2"/>
      <c r="S19" s="2"/>
      <c r="T19" s="2"/>
      <c r="U19" s="2"/>
      <c r="V19" s="2"/>
      <c r="W19" s="2"/>
      <c r="X19" s="2"/>
      <c r="Y19" s="2"/>
      <c r="Z19" s="2"/>
      <c r="AA19" s="2"/>
      <c r="AB19" s="2"/>
      <c r="AC19" s="2"/>
      <c r="AD19" s="2"/>
      <c r="AE19" s="2"/>
      <c r="AF19" s="2"/>
      <c r="AG19" s="2"/>
      <c r="AH19" s="2"/>
    </row>
    <row r="20" spans="1:34" x14ac:dyDescent="0.3">
      <c r="A20" s="2"/>
      <c r="B20" s="2"/>
      <c r="C20" s="2"/>
      <c r="D20" s="2"/>
      <c r="E20" s="2"/>
      <c r="F20" s="2"/>
      <c r="G20" s="2"/>
      <c r="H20" s="2"/>
      <c r="I20" s="2"/>
      <c r="J20" s="2"/>
      <c r="K20" s="2"/>
      <c r="L20" s="2"/>
      <c r="M20" s="2"/>
      <c r="N20" s="2"/>
      <c r="O20" s="2"/>
      <c r="P20" s="2"/>
      <c r="Q20" s="2"/>
      <c r="R20" s="2"/>
      <c r="S20" s="2"/>
      <c r="T20" s="2"/>
      <c r="U20" s="2"/>
      <c r="V20" s="2"/>
      <c r="W20" s="2"/>
      <c r="X20" s="2"/>
      <c r="Y20" s="2"/>
      <c r="Z20" s="2"/>
      <c r="AA20" s="2"/>
      <c r="AB20" s="2"/>
      <c r="AC20" s="2"/>
      <c r="AD20" s="2"/>
      <c r="AE20" s="2"/>
      <c r="AF20" s="2"/>
      <c r="AG20" s="2"/>
      <c r="AH20" s="2"/>
    </row>
    <row r="21" spans="1:34" x14ac:dyDescent="0.3">
      <c r="A21" s="2"/>
      <c r="B21" s="2"/>
      <c r="C21" s="2"/>
      <c r="D21" s="2"/>
      <c r="E21" s="2"/>
      <c r="F21" s="2"/>
      <c r="G21" s="2"/>
      <c r="H21" s="2"/>
      <c r="I21" s="2"/>
      <c r="J21" s="2"/>
      <c r="K21" s="2"/>
      <c r="L21" s="2"/>
      <c r="M21" s="2"/>
      <c r="N21" s="2"/>
      <c r="O21" s="2"/>
      <c r="P21" s="2"/>
      <c r="Q21" s="2"/>
      <c r="R21" s="2"/>
      <c r="S21" s="2"/>
      <c r="T21" s="2"/>
      <c r="U21" s="2"/>
      <c r="V21" s="2"/>
      <c r="W21" s="2"/>
      <c r="X21" s="2"/>
      <c r="Y21" s="2"/>
      <c r="Z21" s="2"/>
      <c r="AA21" s="2"/>
      <c r="AB21" s="2"/>
      <c r="AC21" s="2"/>
      <c r="AD21" s="2"/>
      <c r="AE21" s="2"/>
      <c r="AF21" s="2"/>
      <c r="AG21" s="2"/>
      <c r="AH21" s="2"/>
    </row>
    <row r="22" spans="1:34" x14ac:dyDescent="0.3">
      <c r="A22" s="2"/>
      <c r="B22" s="2"/>
      <c r="C22" s="2"/>
      <c r="D22" s="2"/>
      <c r="E22" s="2"/>
      <c r="F22" s="2"/>
      <c r="G22" s="2"/>
      <c r="H22" s="2"/>
      <c r="I22" s="2"/>
      <c r="J22" s="2"/>
      <c r="K22" s="2"/>
      <c r="L22" s="2"/>
      <c r="M22" s="2"/>
      <c r="N22" s="2"/>
      <c r="O22" s="2"/>
      <c r="P22" s="2"/>
      <c r="Q22" s="2"/>
      <c r="R22" s="2"/>
      <c r="S22" s="2"/>
      <c r="T22" s="2"/>
      <c r="U22" s="2"/>
      <c r="V22" s="2"/>
      <c r="W22" s="2"/>
      <c r="X22" s="2"/>
      <c r="Y22" s="2"/>
      <c r="Z22" s="2"/>
      <c r="AA22" s="2"/>
      <c r="AB22" s="2"/>
      <c r="AC22" s="2"/>
      <c r="AD22" s="2"/>
      <c r="AE22" s="2"/>
      <c r="AF22" s="2"/>
      <c r="AG22" s="2"/>
      <c r="AH22" s="2"/>
    </row>
    <row r="23" spans="1:34" x14ac:dyDescent="0.3">
      <c r="A23" s="2"/>
      <c r="B23" s="2"/>
      <c r="C23" s="2"/>
      <c r="D23" s="2"/>
      <c r="E23" s="2"/>
      <c r="F23" s="2"/>
      <c r="G23" s="2"/>
      <c r="H23" s="2"/>
      <c r="I23" s="2"/>
      <c r="J23" s="2"/>
      <c r="K23" s="2"/>
      <c r="L23" s="2"/>
      <c r="M23" s="2"/>
      <c r="N23" s="2"/>
      <c r="O23" s="2"/>
      <c r="P23" s="2"/>
      <c r="Q23" s="2"/>
      <c r="R23" s="2"/>
      <c r="S23" s="2"/>
      <c r="T23" s="2"/>
      <c r="U23" s="2"/>
      <c r="V23" s="2"/>
      <c r="W23" s="2"/>
      <c r="X23" s="2"/>
      <c r="Y23" s="2"/>
      <c r="Z23" s="2"/>
      <c r="AA23" s="2"/>
      <c r="AB23" s="2"/>
      <c r="AC23" s="2"/>
      <c r="AD23" s="2"/>
      <c r="AE23" s="2"/>
      <c r="AF23" s="2"/>
      <c r="AG23" s="2"/>
      <c r="AH23" s="2"/>
    </row>
    <row r="24" spans="1:34" x14ac:dyDescent="0.3">
      <c r="A24" s="2"/>
      <c r="B24" s="2"/>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c r="AF24" s="2"/>
      <c r="AG24" s="2"/>
      <c r="AH24" s="2"/>
    </row>
    <row r="25" spans="1:34" x14ac:dyDescent="0.3">
      <c r="A25" s="2"/>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c r="AG25" s="2"/>
      <c r="AH25" s="2"/>
    </row>
    <row r="26" spans="1:34" x14ac:dyDescent="0.3">
      <c r="A26" s="2"/>
      <c r="B26" s="2"/>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c r="AG26" s="2"/>
      <c r="AH26" s="2"/>
    </row>
    <row r="27" spans="1:34" x14ac:dyDescent="0.3">
      <c r="A27" s="2"/>
      <c r="B27" s="2"/>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c r="AE27" s="2"/>
      <c r="AF27" s="2"/>
      <c r="AG27" s="2"/>
      <c r="AH27" s="2"/>
    </row>
    <row r="28" spans="1:34" x14ac:dyDescent="0.3">
      <c r="A28" s="2"/>
      <c r="B28" s="2"/>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c r="AG28" s="2"/>
      <c r="AH28" s="2"/>
    </row>
    <row r="29" spans="1:34" x14ac:dyDescent="0.3">
      <c r="A29" s="2"/>
      <c r="B29" s="2"/>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c r="AG29" s="2"/>
      <c r="AH29" s="2"/>
    </row>
    <row r="30" spans="1:34" x14ac:dyDescent="0.3">
      <c r="A30" s="2"/>
      <c r="B30" s="2"/>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c r="AF30" s="2"/>
      <c r="AG30" s="2"/>
      <c r="AH30" s="2"/>
    </row>
    <row r="31" spans="1:34" x14ac:dyDescent="0.3">
      <c r="A31" s="2"/>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c r="AG31" s="2"/>
      <c r="AH31" s="2"/>
    </row>
    <row r="32" spans="1:34" x14ac:dyDescent="0.3">
      <c r="A32" s="2"/>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row>
    <row r="33" spans="1:34" x14ac:dyDescent="0.3">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row>
    <row r="34" spans="1:34" x14ac:dyDescent="0.3">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c r="AH34" s="2"/>
    </row>
  </sheetData>
  <pageMargins left="0.7" right="0.7" top="0.75" bottom="0.75" header="0.3" footer="0.3"/>
  <drawing r:id="rId1"/>
  <legacy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05B99E-BE2C-48BB-8B81-E99005A8A450}">
  <dimension ref="C4:N142"/>
  <sheetViews>
    <sheetView topLeftCell="E1" workbookViewId="0">
      <selection activeCell="G48" sqref="G48"/>
    </sheetView>
  </sheetViews>
  <sheetFormatPr defaultRowHeight="14.4" x14ac:dyDescent="0.3"/>
  <cols>
    <col min="3" max="3" width="22.44140625" bestFit="1" customWidth="1"/>
    <col min="4" max="4" width="30.33203125" bestFit="1" customWidth="1"/>
    <col min="5" max="5" width="31.33203125" bestFit="1" customWidth="1"/>
    <col min="6" max="6" width="21.109375" customWidth="1"/>
    <col min="7" max="7" width="16.33203125" customWidth="1"/>
    <col min="8" max="8" width="27.88671875" customWidth="1"/>
    <col min="9" max="9" width="31.33203125" bestFit="1" customWidth="1"/>
    <col min="10" max="10" width="26" bestFit="1" customWidth="1"/>
    <col min="13" max="13" width="27.44140625" bestFit="1" customWidth="1"/>
    <col min="14" max="14" width="26.5546875" bestFit="1" customWidth="1"/>
  </cols>
  <sheetData>
    <row r="4" spans="7:14" x14ac:dyDescent="0.3">
      <c r="I4" t="s">
        <v>26</v>
      </c>
      <c r="M4" s="17" t="s">
        <v>27</v>
      </c>
      <c r="N4" s="17"/>
    </row>
    <row r="5" spans="7:14" x14ac:dyDescent="0.3">
      <c r="I5" s="3" t="s">
        <v>4</v>
      </c>
      <c r="J5" t="s">
        <v>2</v>
      </c>
      <c r="M5" s="3" t="s">
        <v>4</v>
      </c>
      <c r="N5" t="s">
        <v>3</v>
      </c>
    </row>
    <row r="6" spans="7:14" x14ac:dyDescent="0.3">
      <c r="G6" t="s">
        <v>1</v>
      </c>
      <c r="I6" s="4">
        <v>45413</v>
      </c>
      <c r="J6" s="1">
        <v>35.642857142857146</v>
      </c>
      <c r="M6" s="4">
        <v>45413</v>
      </c>
      <c r="N6" s="1">
        <v>7.4</v>
      </c>
    </row>
    <row r="7" spans="7:14" x14ac:dyDescent="0.3">
      <c r="G7" t="s">
        <v>0</v>
      </c>
      <c r="I7" s="4">
        <v>45414</v>
      </c>
      <c r="J7" s="1">
        <v>27</v>
      </c>
      <c r="M7" s="4">
        <v>45414</v>
      </c>
      <c r="N7" s="1">
        <v>5.6</v>
      </c>
    </row>
    <row r="8" spans="7:14" x14ac:dyDescent="0.3">
      <c r="G8">
        <v>519</v>
      </c>
      <c r="I8" s="4">
        <v>45415</v>
      </c>
      <c r="J8" s="1">
        <v>36.047619047619051</v>
      </c>
      <c r="M8" s="4">
        <v>45415</v>
      </c>
      <c r="N8" s="1">
        <v>6.7142857142857144</v>
      </c>
    </row>
    <row r="9" spans="7:14" x14ac:dyDescent="0.3">
      <c r="I9" s="4">
        <v>45416</v>
      </c>
      <c r="J9" s="1">
        <v>38.866666666666667</v>
      </c>
      <c r="M9" s="4">
        <v>45416</v>
      </c>
      <c r="N9" s="1">
        <v>6</v>
      </c>
    </row>
    <row r="10" spans="7:14" x14ac:dyDescent="0.3">
      <c r="I10" s="4">
        <v>45417</v>
      </c>
      <c r="J10" s="1">
        <v>35.909090909090907</v>
      </c>
      <c r="M10" s="4">
        <v>45417</v>
      </c>
      <c r="N10" s="1">
        <v>4</v>
      </c>
    </row>
    <row r="11" spans="7:14" x14ac:dyDescent="0.3">
      <c r="I11" s="4">
        <v>45418</v>
      </c>
      <c r="J11" s="1">
        <v>38.470588235294116</v>
      </c>
      <c r="M11" s="4">
        <v>45418</v>
      </c>
      <c r="N11" s="1">
        <v>4.7142857142857144</v>
      </c>
    </row>
    <row r="12" spans="7:14" x14ac:dyDescent="0.3">
      <c r="I12" s="4">
        <v>45419</v>
      </c>
      <c r="J12" s="1">
        <v>36.733333333333334</v>
      </c>
      <c r="M12" s="4">
        <v>45419</v>
      </c>
      <c r="N12" s="1">
        <v>1.8</v>
      </c>
    </row>
    <row r="13" spans="7:14" x14ac:dyDescent="0.3">
      <c r="I13" s="4">
        <v>45420</v>
      </c>
      <c r="J13" s="1">
        <v>34.588235294117645</v>
      </c>
      <c r="M13" s="4">
        <v>45420</v>
      </c>
      <c r="N13" s="1">
        <v>4.833333333333333</v>
      </c>
    </row>
    <row r="14" spans="7:14" x14ac:dyDescent="0.3">
      <c r="G14" t="s">
        <v>2</v>
      </c>
      <c r="I14" s="4">
        <v>45421</v>
      </c>
      <c r="J14" s="1">
        <v>37.53846153846154</v>
      </c>
      <c r="M14" s="4">
        <v>45421</v>
      </c>
      <c r="N14" s="1">
        <v>4.25</v>
      </c>
    </row>
    <row r="15" spans="7:14" x14ac:dyDescent="0.3">
      <c r="G15" s="1">
        <v>35.809248554913296</v>
      </c>
      <c r="I15" s="4">
        <v>45422</v>
      </c>
      <c r="J15" s="1">
        <v>31.708333333333332</v>
      </c>
      <c r="M15" s="4">
        <v>45422</v>
      </c>
      <c r="N15" s="1">
        <v>4.5999999999999996</v>
      </c>
    </row>
    <row r="16" spans="7:14" x14ac:dyDescent="0.3">
      <c r="I16" s="4">
        <v>45423</v>
      </c>
      <c r="J16" s="1">
        <v>28.923076923076923</v>
      </c>
      <c r="M16" s="4">
        <v>45423</v>
      </c>
      <c r="N16" s="1">
        <v>6.5</v>
      </c>
    </row>
    <row r="17" spans="7:14" x14ac:dyDescent="0.3">
      <c r="I17" s="4">
        <v>45424</v>
      </c>
      <c r="J17" s="1">
        <v>42.071428571428569</v>
      </c>
      <c r="M17" s="4">
        <v>45424</v>
      </c>
      <c r="N17" s="1">
        <v>5</v>
      </c>
    </row>
    <row r="18" spans="7:14" x14ac:dyDescent="0.3">
      <c r="I18" s="4">
        <v>45425</v>
      </c>
      <c r="J18" s="1">
        <v>35.833333333333336</v>
      </c>
      <c r="M18" s="4">
        <v>45425</v>
      </c>
      <c r="N18" s="1">
        <v>6</v>
      </c>
    </row>
    <row r="19" spans="7:14" x14ac:dyDescent="0.3">
      <c r="I19" s="4">
        <v>45426</v>
      </c>
      <c r="J19" s="1">
        <v>28.727272727272727</v>
      </c>
      <c r="M19" s="4">
        <v>45426</v>
      </c>
      <c r="N19" s="1">
        <v>4.7142857142857144</v>
      </c>
    </row>
    <row r="20" spans="7:14" x14ac:dyDescent="0.3">
      <c r="G20" t="s">
        <v>3</v>
      </c>
      <c r="I20" s="4">
        <v>45427</v>
      </c>
      <c r="J20" s="1">
        <v>35.75</v>
      </c>
      <c r="M20" s="4">
        <v>45427</v>
      </c>
      <c r="N20" s="1">
        <v>4.2</v>
      </c>
    </row>
    <row r="21" spans="7:14" x14ac:dyDescent="0.3">
      <c r="G21" s="1">
        <v>5.1455696202531644</v>
      </c>
      <c r="I21" s="4">
        <v>45428</v>
      </c>
      <c r="J21" s="1">
        <v>34.75</v>
      </c>
      <c r="M21" s="4">
        <v>45428</v>
      </c>
      <c r="N21" s="1">
        <v>7.2</v>
      </c>
    </row>
    <row r="22" spans="7:14" x14ac:dyDescent="0.3">
      <c r="I22" s="4">
        <v>45429</v>
      </c>
      <c r="J22" s="1">
        <v>37.666666666666664</v>
      </c>
      <c r="M22" s="4">
        <v>45429</v>
      </c>
      <c r="N22" s="1">
        <v>4.333333333333333</v>
      </c>
    </row>
    <row r="23" spans="7:14" x14ac:dyDescent="0.3">
      <c r="I23" s="4">
        <v>45430</v>
      </c>
      <c r="J23" s="1">
        <v>40.421052631578945</v>
      </c>
      <c r="M23" s="4">
        <v>45430</v>
      </c>
      <c r="N23" s="1">
        <v>3.7777777777777777</v>
      </c>
    </row>
    <row r="24" spans="7:14" x14ac:dyDescent="0.3">
      <c r="I24" s="4">
        <v>45431</v>
      </c>
      <c r="J24" s="1">
        <v>33.75</v>
      </c>
      <c r="M24" s="4">
        <v>45431</v>
      </c>
      <c r="N24" s="1">
        <v>3.6666666666666665</v>
      </c>
    </row>
    <row r="25" spans="7:14" x14ac:dyDescent="0.3">
      <c r="I25" s="4">
        <v>45432</v>
      </c>
      <c r="J25" s="1">
        <v>32.764705882352942</v>
      </c>
      <c r="M25" s="4">
        <v>45432</v>
      </c>
      <c r="N25" s="1">
        <v>4</v>
      </c>
    </row>
    <row r="26" spans="7:14" x14ac:dyDescent="0.3">
      <c r="I26" s="4">
        <v>45433</v>
      </c>
      <c r="J26" s="1">
        <v>37.357142857142854</v>
      </c>
      <c r="M26" s="4">
        <v>45433</v>
      </c>
      <c r="N26" s="1">
        <v>5.833333333333333</v>
      </c>
    </row>
    <row r="27" spans="7:14" x14ac:dyDescent="0.3">
      <c r="I27" s="4">
        <v>45434</v>
      </c>
      <c r="J27" s="1">
        <v>37.227272727272727</v>
      </c>
      <c r="M27" s="4">
        <v>45434</v>
      </c>
      <c r="N27" s="1">
        <v>5.666666666666667</v>
      </c>
    </row>
    <row r="28" spans="7:14" x14ac:dyDescent="0.3">
      <c r="I28" s="4">
        <v>45435</v>
      </c>
      <c r="J28" s="1">
        <v>36.700000000000003</v>
      </c>
      <c r="M28" s="4">
        <v>45435</v>
      </c>
      <c r="N28" s="1">
        <v>5.5</v>
      </c>
    </row>
    <row r="29" spans="7:14" x14ac:dyDescent="0.3">
      <c r="I29" s="4">
        <v>45436</v>
      </c>
      <c r="J29" s="1">
        <v>43.058823529411768</v>
      </c>
      <c r="M29" s="4">
        <v>45436</v>
      </c>
      <c r="N29" s="1">
        <v>5.5</v>
      </c>
    </row>
    <row r="30" spans="7:14" x14ac:dyDescent="0.3">
      <c r="I30" s="4">
        <v>45437</v>
      </c>
      <c r="J30" s="1">
        <v>39.777777777777779</v>
      </c>
      <c r="M30" s="4">
        <v>45437</v>
      </c>
      <c r="N30" s="1">
        <v>7</v>
      </c>
    </row>
    <row r="31" spans="7:14" x14ac:dyDescent="0.3">
      <c r="I31" s="4">
        <v>45438</v>
      </c>
      <c r="J31" s="1">
        <v>40.692307692307693</v>
      </c>
      <c r="M31" s="4">
        <v>45438</v>
      </c>
      <c r="N31" s="1">
        <v>7</v>
      </c>
    </row>
    <row r="32" spans="7:14" x14ac:dyDescent="0.3">
      <c r="I32" s="4">
        <v>45439</v>
      </c>
      <c r="J32" s="1">
        <v>34.46153846153846</v>
      </c>
      <c r="M32" s="4">
        <v>45439</v>
      </c>
      <c r="N32" s="1">
        <v>4</v>
      </c>
    </row>
    <row r="33" spans="3:14" x14ac:dyDescent="0.3">
      <c r="I33" s="4">
        <v>45440</v>
      </c>
      <c r="J33" s="1">
        <v>30.307692307692307</v>
      </c>
      <c r="M33" s="4">
        <v>45440</v>
      </c>
      <c r="N33" s="1">
        <v>4.4444444444444446</v>
      </c>
    </row>
    <row r="34" spans="3:14" x14ac:dyDescent="0.3">
      <c r="I34" s="4">
        <v>45441</v>
      </c>
      <c r="J34" s="1">
        <v>38.5</v>
      </c>
      <c r="M34" s="4">
        <v>45441</v>
      </c>
      <c r="N34" s="1">
        <v>4.8571428571428568</v>
      </c>
    </row>
    <row r="35" spans="3:14" x14ac:dyDescent="0.3">
      <c r="I35" s="4">
        <v>45442</v>
      </c>
      <c r="J35" s="1">
        <v>35.333333333333336</v>
      </c>
      <c r="M35" s="4">
        <v>45442</v>
      </c>
      <c r="N35" s="1">
        <v>5.5714285714285712</v>
      </c>
    </row>
    <row r="36" spans="3:14" x14ac:dyDescent="0.3">
      <c r="I36" s="4">
        <v>45443</v>
      </c>
      <c r="J36" s="1">
        <v>32.421052631578945</v>
      </c>
      <c r="M36" s="4">
        <v>45443</v>
      </c>
      <c r="N36" s="1">
        <v>6</v>
      </c>
    </row>
    <row r="38" spans="3:14" x14ac:dyDescent="0.3">
      <c r="C38" s="3" t="s">
        <v>4</v>
      </c>
      <c r="D38" t="s">
        <v>29</v>
      </c>
      <c r="E38" t="s">
        <v>30</v>
      </c>
    </row>
    <row r="39" spans="3:14" x14ac:dyDescent="0.3">
      <c r="C39" s="5" t="s">
        <v>8</v>
      </c>
      <c r="D39" s="8">
        <v>266</v>
      </c>
      <c r="E39" s="9">
        <v>0.51252408477842004</v>
      </c>
    </row>
    <row r="40" spans="3:14" x14ac:dyDescent="0.3">
      <c r="C40" s="5" t="s">
        <v>15</v>
      </c>
      <c r="D40" s="8">
        <v>253</v>
      </c>
      <c r="E40" s="9">
        <v>0.48747591522157996</v>
      </c>
    </row>
    <row r="41" spans="3:14" x14ac:dyDescent="0.3">
      <c r="C41" s="5" t="s">
        <v>5</v>
      </c>
      <c r="D41" s="1">
        <v>519</v>
      </c>
      <c r="E41" s="9">
        <v>1</v>
      </c>
    </row>
    <row r="44" spans="3:14" x14ac:dyDescent="0.3">
      <c r="D44" s="11" t="s">
        <v>31</v>
      </c>
      <c r="E44" s="11" t="s">
        <v>32</v>
      </c>
      <c r="F44" s="11" t="s">
        <v>33</v>
      </c>
      <c r="G44" s="10"/>
    </row>
    <row r="45" spans="3:14" x14ac:dyDescent="0.3">
      <c r="D45" s="12" t="str">
        <f>C40</f>
        <v>Not Admitted</v>
      </c>
      <c r="E45" s="12">
        <f>D40</f>
        <v>253</v>
      </c>
      <c r="F45" s="13">
        <f>E40</f>
        <v>0.48747591522157996</v>
      </c>
      <c r="G45" s="6"/>
    </row>
    <row r="46" spans="3:14" x14ac:dyDescent="0.3">
      <c r="D46" s="12" t="str">
        <f>C39</f>
        <v>Admitted</v>
      </c>
      <c r="E46" s="12">
        <f>D39</f>
        <v>266</v>
      </c>
      <c r="F46" s="13">
        <f>E39</f>
        <v>0.51252408477842004</v>
      </c>
      <c r="G46" s="6"/>
    </row>
    <row r="52" spans="3:4" x14ac:dyDescent="0.3">
      <c r="C52" t="s">
        <v>35</v>
      </c>
    </row>
    <row r="53" spans="3:4" x14ac:dyDescent="0.3">
      <c r="C53" s="3" t="s">
        <v>4</v>
      </c>
      <c r="D53" t="s">
        <v>34</v>
      </c>
    </row>
    <row r="54" spans="3:4" x14ac:dyDescent="0.3">
      <c r="C54" s="5" t="s">
        <v>19</v>
      </c>
      <c r="D54" s="1">
        <v>73</v>
      </c>
    </row>
    <row r="55" spans="3:4" x14ac:dyDescent="0.3">
      <c r="C55" s="5" t="s">
        <v>16</v>
      </c>
      <c r="D55" s="1">
        <v>64</v>
      </c>
    </row>
    <row r="56" spans="3:4" x14ac:dyDescent="0.3">
      <c r="C56" s="5" t="s">
        <v>17</v>
      </c>
      <c r="D56" s="1">
        <v>74</v>
      </c>
    </row>
    <row r="57" spans="3:4" x14ac:dyDescent="0.3">
      <c r="C57" s="5" t="s">
        <v>11</v>
      </c>
      <c r="D57" s="1">
        <v>71</v>
      </c>
    </row>
    <row r="58" spans="3:4" x14ac:dyDescent="0.3">
      <c r="C58" s="5" t="s">
        <v>9</v>
      </c>
      <c r="D58" s="1">
        <v>58</v>
      </c>
    </row>
    <row r="59" spans="3:4" x14ac:dyDescent="0.3">
      <c r="C59" s="5" t="s">
        <v>21</v>
      </c>
      <c r="D59" s="1">
        <v>68</v>
      </c>
    </row>
    <row r="60" spans="3:4" x14ac:dyDescent="0.3">
      <c r="C60" s="5" t="s">
        <v>13</v>
      </c>
      <c r="D60" s="1">
        <v>62</v>
      </c>
    </row>
    <row r="61" spans="3:4" x14ac:dyDescent="0.3">
      <c r="C61" s="5" t="s">
        <v>25</v>
      </c>
      <c r="D61" s="1">
        <v>49</v>
      </c>
    </row>
    <row r="62" spans="3:4" x14ac:dyDescent="0.3">
      <c r="C62" s="5" t="s">
        <v>5</v>
      </c>
      <c r="D62" s="1">
        <v>519</v>
      </c>
    </row>
    <row r="66" spans="3:4" x14ac:dyDescent="0.3">
      <c r="C66" t="s">
        <v>36</v>
      </c>
    </row>
    <row r="67" spans="3:4" x14ac:dyDescent="0.3">
      <c r="C67" s="3" t="s">
        <v>4</v>
      </c>
      <c r="D67" t="s">
        <v>28</v>
      </c>
    </row>
    <row r="68" spans="3:4" x14ac:dyDescent="0.3">
      <c r="C68" s="5" t="s">
        <v>12</v>
      </c>
      <c r="D68" s="8">
        <v>324</v>
      </c>
    </row>
    <row r="69" spans="3:4" x14ac:dyDescent="0.3">
      <c r="C69" s="5" t="s">
        <v>10</v>
      </c>
      <c r="D69" s="8">
        <v>195</v>
      </c>
    </row>
    <row r="70" spans="3:4" x14ac:dyDescent="0.3">
      <c r="C70" s="5" t="s">
        <v>5</v>
      </c>
      <c r="D70" s="1">
        <v>519</v>
      </c>
    </row>
    <row r="77" spans="3:4" x14ac:dyDescent="0.3">
      <c r="C77" t="s">
        <v>38</v>
      </c>
    </row>
    <row r="78" spans="3:4" x14ac:dyDescent="0.3">
      <c r="C78" s="3" t="s">
        <v>4</v>
      </c>
      <c r="D78" t="s">
        <v>37</v>
      </c>
    </row>
    <row r="79" spans="3:4" x14ac:dyDescent="0.3">
      <c r="C79" s="5" t="s">
        <v>6</v>
      </c>
      <c r="D79" s="1">
        <v>254</v>
      </c>
    </row>
    <row r="80" spans="3:4" x14ac:dyDescent="0.3">
      <c r="C80" s="5" t="s">
        <v>14</v>
      </c>
      <c r="D80" s="1">
        <v>265</v>
      </c>
    </row>
    <row r="81" spans="3:4" x14ac:dyDescent="0.3">
      <c r="C81" s="5" t="s">
        <v>5</v>
      </c>
      <c r="D81" s="1">
        <v>519</v>
      </c>
    </row>
    <row r="86" spans="3:4" x14ac:dyDescent="0.3">
      <c r="C86" s="3" t="s">
        <v>4</v>
      </c>
      <c r="D86" t="s">
        <v>41</v>
      </c>
    </row>
    <row r="87" spans="3:4" x14ac:dyDescent="0.3">
      <c r="C87" s="5" t="s">
        <v>7</v>
      </c>
      <c r="D87" s="8">
        <v>313</v>
      </c>
    </row>
    <row r="88" spans="3:4" x14ac:dyDescent="0.3">
      <c r="C88" s="5" t="s">
        <v>18</v>
      </c>
      <c r="D88" s="8">
        <v>102</v>
      </c>
    </row>
    <row r="89" spans="3:4" x14ac:dyDescent="0.3">
      <c r="C89" s="5" t="s">
        <v>20</v>
      </c>
      <c r="D89" s="8">
        <v>51</v>
      </c>
    </row>
    <row r="90" spans="3:4" x14ac:dyDescent="0.3">
      <c r="C90" s="5" t="s">
        <v>39</v>
      </c>
      <c r="D90" s="8">
        <v>16</v>
      </c>
    </row>
    <row r="91" spans="3:4" x14ac:dyDescent="0.3">
      <c r="C91" s="5" t="s">
        <v>22</v>
      </c>
      <c r="D91" s="8">
        <v>15</v>
      </c>
    </row>
    <row r="92" spans="3:4" x14ac:dyDescent="0.3">
      <c r="C92" s="5" t="s">
        <v>23</v>
      </c>
      <c r="D92" s="8">
        <v>11</v>
      </c>
    </row>
    <row r="93" spans="3:4" x14ac:dyDescent="0.3">
      <c r="C93" s="5" t="s">
        <v>24</v>
      </c>
      <c r="D93" s="8">
        <v>8</v>
      </c>
    </row>
    <row r="94" spans="3:4" x14ac:dyDescent="0.3">
      <c r="C94" s="5" t="s">
        <v>40</v>
      </c>
      <c r="D94" s="8">
        <v>3</v>
      </c>
    </row>
    <row r="95" spans="3:4" x14ac:dyDescent="0.3">
      <c r="C95" s="5" t="s">
        <v>5</v>
      </c>
      <c r="D95" s="1">
        <v>519</v>
      </c>
    </row>
    <row r="107" spans="3:3" x14ac:dyDescent="0.3">
      <c r="C107" s="3" t="s">
        <v>4</v>
      </c>
    </row>
    <row r="108" spans="3:3" x14ac:dyDescent="0.3">
      <c r="C108" s="5" t="s">
        <v>42</v>
      </c>
    </row>
    <row r="109" spans="3:3" x14ac:dyDescent="0.3">
      <c r="C109" s="14" t="s">
        <v>43</v>
      </c>
    </row>
    <row r="110" spans="3:3" x14ac:dyDescent="0.3">
      <c r="C110" s="15" t="s">
        <v>44</v>
      </c>
    </row>
    <row r="111" spans="3:3" x14ac:dyDescent="0.3">
      <c r="C111" s="16">
        <v>45413</v>
      </c>
    </row>
    <row r="112" spans="3:3" x14ac:dyDescent="0.3">
      <c r="C112" s="16">
        <v>45414</v>
      </c>
    </row>
    <row r="113" spans="3:3" x14ac:dyDescent="0.3">
      <c r="C113" s="16">
        <v>45415</v>
      </c>
    </row>
    <row r="114" spans="3:3" x14ac:dyDescent="0.3">
      <c r="C114" s="16">
        <v>45416</v>
      </c>
    </row>
    <row r="115" spans="3:3" x14ac:dyDescent="0.3">
      <c r="C115" s="16">
        <v>45417</v>
      </c>
    </row>
    <row r="116" spans="3:3" x14ac:dyDescent="0.3">
      <c r="C116" s="16">
        <v>45418</v>
      </c>
    </row>
    <row r="117" spans="3:3" x14ac:dyDescent="0.3">
      <c r="C117" s="16">
        <v>45419</v>
      </c>
    </row>
    <row r="118" spans="3:3" x14ac:dyDescent="0.3">
      <c r="C118" s="16">
        <v>45420</v>
      </c>
    </row>
    <row r="119" spans="3:3" x14ac:dyDescent="0.3">
      <c r="C119" s="16">
        <v>45421</v>
      </c>
    </row>
    <row r="120" spans="3:3" x14ac:dyDescent="0.3">
      <c r="C120" s="16">
        <v>45422</v>
      </c>
    </row>
    <row r="121" spans="3:3" x14ac:dyDescent="0.3">
      <c r="C121" s="16">
        <v>45423</v>
      </c>
    </row>
    <row r="122" spans="3:3" x14ac:dyDescent="0.3">
      <c r="C122" s="16">
        <v>45424</v>
      </c>
    </row>
    <row r="123" spans="3:3" x14ac:dyDescent="0.3">
      <c r="C123" s="16">
        <v>45425</v>
      </c>
    </row>
    <row r="124" spans="3:3" x14ac:dyDescent="0.3">
      <c r="C124" s="16">
        <v>45426</v>
      </c>
    </row>
    <row r="125" spans="3:3" x14ac:dyDescent="0.3">
      <c r="C125" s="16">
        <v>45427</v>
      </c>
    </row>
    <row r="126" spans="3:3" x14ac:dyDescent="0.3">
      <c r="C126" s="16">
        <v>45428</v>
      </c>
    </row>
    <row r="127" spans="3:3" x14ac:dyDescent="0.3">
      <c r="C127" s="16">
        <v>45429</v>
      </c>
    </row>
    <row r="128" spans="3:3" x14ac:dyDescent="0.3">
      <c r="C128" s="16">
        <v>45430</v>
      </c>
    </row>
    <row r="129" spans="3:3" x14ac:dyDescent="0.3">
      <c r="C129" s="16">
        <v>45431</v>
      </c>
    </row>
    <row r="130" spans="3:3" x14ac:dyDescent="0.3">
      <c r="C130" s="16">
        <v>45432</v>
      </c>
    </row>
    <row r="131" spans="3:3" x14ac:dyDescent="0.3">
      <c r="C131" s="16">
        <v>45433</v>
      </c>
    </row>
    <row r="132" spans="3:3" x14ac:dyDescent="0.3">
      <c r="C132" s="16">
        <v>45434</v>
      </c>
    </row>
    <row r="133" spans="3:3" x14ac:dyDescent="0.3">
      <c r="C133" s="16">
        <v>45435</v>
      </c>
    </row>
    <row r="134" spans="3:3" x14ac:dyDescent="0.3">
      <c r="C134" s="16">
        <v>45436</v>
      </c>
    </row>
    <row r="135" spans="3:3" x14ac:dyDescent="0.3">
      <c r="C135" s="16">
        <v>45437</v>
      </c>
    </row>
    <row r="136" spans="3:3" x14ac:dyDescent="0.3">
      <c r="C136" s="16">
        <v>45438</v>
      </c>
    </row>
    <row r="137" spans="3:3" x14ac:dyDescent="0.3">
      <c r="C137" s="16">
        <v>45439</v>
      </c>
    </row>
    <row r="138" spans="3:3" x14ac:dyDescent="0.3">
      <c r="C138" s="16">
        <v>45440</v>
      </c>
    </row>
    <row r="139" spans="3:3" x14ac:dyDescent="0.3">
      <c r="C139" s="16">
        <v>45441</v>
      </c>
    </row>
    <row r="140" spans="3:3" x14ac:dyDescent="0.3">
      <c r="C140" s="16">
        <v>45442</v>
      </c>
    </row>
    <row r="141" spans="3:3" x14ac:dyDescent="0.3">
      <c r="C141" s="16">
        <v>45443</v>
      </c>
    </row>
    <row r="142" spans="3:3" x14ac:dyDescent="0.3">
      <c r="C142" s="5" t="s">
        <v>5</v>
      </c>
    </row>
  </sheetData>
  <mergeCells count="1">
    <mergeCell ref="M4:N4"/>
  </mergeCells>
  <pageMargins left="0.7" right="0.7" top="0.75" bottom="0.75" header="0.3" footer="0.3"/>
  <drawing r:id="rId1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F9E786-BA58-4AC1-A73D-FEBF4AF37A33}">
  <dimension ref="A1"/>
  <sheetViews>
    <sheetView workbookViewId="0"/>
  </sheetViews>
  <sheetFormatPr defaultRowHeight="14.4" x14ac:dyDescent="0.3"/>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7148C9-6DAF-41E3-ABBF-92E4F88007F6}">
  <dimension ref="A1:P21"/>
  <sheetViews>
    <sheetView workbookViewId="0"/>
  </sheetViews>
  <sheetFormatPr defaultRowHeight="14.4" x14ac:dyDescent="0.3"/>
  <sheetData>
    <row r="1" spans="1:16" x14ac:dyDescent="0.3">
      <c r="A1" s="6"/>
      <c r="B1" s="6"/>
      <c r="C1" s="6"/>
      <c r="D1" s="6"/>
      <c r="E1" s="6"/>
      <c r="F1" s="6"/>
      <c r="G1" s="6"/>
      <c r="H1" s="6"/>
      <c r="I1" s="6"/>
      <c r="J1" s="6"/>
      <c r="K1" s="6"/>
      <c r="L1" s="6"/>
      <c r="M1" s="6"/>
      <c r="N1" s="6"/>
      <c r="O1" s="6"/>
      <c r="P1" s="6"/>
    </row>
    <row r="2" spans="1:16" x14ac:dyDescent="0.3">
      <c r="A2" s="6"/>
      <c r="B2" s="6"/>
      <c r="C2" s="6"/>
      <c r="D2" s="6"/>
      <c r="E2" s="6"/>
      <c r="F2" s="6"/>
      <c r="G2" s="6"/>
      <c r="H2" s="6"/>
      <c r="I2" s="6"/>
      <c r="J2" s="6"/>
      <c r="K2" s="6"/>
      <c r="L2" s="6"/>
      <c r="M2" s="6"/>
      <c r="N2" s="6"/>
      <c r="O2" s="6"/>
      <c r="P2" s="6"/>
    </row>
    <row r="3" spans="1:16" x14ac:dyDescent="0.3">
      <c r="A3" s="6"/>
      <c r="B3" s="6"/>
      <c r="C3" s="6"/>
      <c r="D3" s="6"/>
      <c r="E3" s="6"/>
      <c r="F3" s="6"/>
      <c r="G3" s="6"/>
      <c r="H3" s="6"/>
      <c r="I3" s="6"/>
      <c r="J3" s="6"/>
      <c r="K3" s="6"/>
      <c r="L3" s="6"/>
      <c r="M3" s="6"/>
      <c r="N3" s="6"/>
      <c r="O3" s="6"/>
      <c r="P3" s="6"/>
    </row>
    <row r="4" spans="1:16" x14ac:dyDescent="0.3">
      <c r="A4" s="6"/>
      <c r="B4" s="6"/>
      <c r="C4" s="6"/>
      <c r="D4" s="6"/>
      <c r="E4" s="6"/>
      <c r="F4" s="6"/>
      <c r="G4" s="6"/>
      <c r="H4" s="6"/>
      <c r="I4" s="6"/>
      <c r="J4" s="6"/>
      <c r="K4" s="6"/>
      <c r="L4" s="6"/>
      <c r="M4" s="6"/>
      <c r="N4" s="6"/>
      <c r="O4" s="6"/>
      <c r="P4" s="6"/>
    </row>
    <row r="5" spans="1:16" x14ac:dyDescent="0.3">
      <c r="A5" s="6"/>
      <c r="B5" s="6"/>
      <c r="C5" s="6"/>
      <c r="D5" s="6"/>
      <c r="E5" s="6"/>
      <c r="F5" s="6"/>
      <c r="G5" s="6"/>
      <c r="H5" s="6"/>
      <c r="I5" s="6"/>
      <c r="J5" s="6"/>
      <c r="K5" s="6"/>
      <c r="L5" s="6"/>
      <c r="M5" s="6"/>
      <c r="N5" s="6"/>
      <c r="O5" s="6"/>
      <c r="P5" s="6"/>
    </row>
    <row r="6" spans="1:16" x14ac:dyDescent="0.3">
      <c r="A6" s="6"/>
      <c r="B6" s="6"/>
      <c r="C6" s="6"/>
      <c r="D6" s="6"/>
      <c r="E6" s="6"/>
      <c r="F6" s="6"/>
      <c r="G6" s="6"/>
      <c r="H6" s="6"/>
      <c r="I6" s="6"/>
      <c r="J6" s="6"/>
      <c r="K6" s="6"/>
      <c r="L6" s="6"/>
      <c r="M6" s="6"/>
      <c r="N6" s="6"/>
      <c r="O6" s="6"/>
      <c r="P6" s="6"/>
    </row>
    <row r="7" spans="1:16" x14ac:dyDescent="0.3">
      <c r="A7" s="6"/>
      <c r="B7" s="6"/>
      <c r="C7" s="6"/>
      <c r="D7" s="6"/>
      <c r="E7" s="6"/>
      <c r="F7" s="6"/>
      <c r="G7" s="6"/>
      <c r="H7" s="6"/>
      <c r="I7" s="6"/>
      <c r="J7" s="6"/>
      <c r="K7" s="6"/>
      <c r="L7" s="6"/>
      <c r="M7" s="6"/>
      <c r="N7" s="6"/>
      <c r="O7" s="6"/>
      <c r="P7" s="6"/>
    </row>
    <row r="8" spans="1:16" x14ac:dyDescent="0.3">
      <c r="A8" s="6"/>
      <c r="B8" s="6"/>
      <c r="C8" s="6"/>
      <c r="D8" s="6"/>
      <c r="E8" s="6"/>
      <c r="F8" s="6"/>
      <c r="G8" s="6"/>
      <c r="H8" s="6"/>
      <c r="I8" s="6"/>
      <c r="J8" s="6"/>
      <c r="K8" s="6"/>
      <c r="L8" s="6"/>
      <c r="M8" s="6"/>
      <c r="N8" s="6"/>
      <c r="O8" s="6"/>
      <c r="P8" s="6"/>
    </row>
    <row r="9" spans="1:16" x14ac:dyDescent="0.3">
      <c r="A9" s="6"/>
      <c r="B9" s="6"/>
      <c r="C9" s="6"/>
      <c r="D9" s="6"/>
      <c r="E9" s="6"/>
      <c r="F9" s="6"/>
      <c r="G9" s="6"/>
      <c r="H9" s="6"/>
      <c r="I9" s="6"/>
      <c r="J9" s="6"/>
      <c r="K9" s="6"/>
      <c r="L9" s="6"/>
      <c r="M9" s="6"/>
      <c r="N9" s="6"/>
      <c r="O9" s="6"/>
      <c r="P9" s="6"/>
    </row>
    <row r="10" spans="1:16" x14ac:dyDescent="0.3">
      <c r="A10" s="6"/>
      <c r="B10" s="6"/>
      <c r="C10" s="6"/>
      <c r="D10" s="6"/>
      <c r="E10" s="6"/>
      <c r="F10" s="6"/>
      <c r="G10" s="6"/>
      <c r="H10" s="6"/>
      <c r="I10" s="6"/>
      <c r="J10" s="6"/>
      <c r="K10" s="6"/>
      <c r="L10" s="6"/>
      <c r="M10" s="6"/>
      <c r="N10" s="6"/>
      <c r="O10" s="6"/>
      <c r="P10" s="6"/>
    </row>
    <row r="11" spans="1:16" x14ac:dyDescent="0.3">
      <c r="A11" s="6"/>
      <c r="B11" s="6"/>
      <c r="C11" s="6"/>
      <c r="D11" s="6"/>
      <c r="E11" s="6"/>
      <c r="F11" s="6"/>
      <c r="G11" s="6"/>
      <c r="H11" s="6"/>
      <c r="I11" s="6"/>
      <c r="J11" s="6"/>
      <c r="K11" s="6"/>
      <c r="L11" s="6"/>
      <c r="M11" s="6"/>
      <c r="N11" s="6"/>
      <c r="O11" s="6"/>
      <c r="P11" s="6"/>
    </row>
    <row r="12" spans="1:16" x14ac:dyDescent="0.3">
      <c r="A12" s="6"/>
      <c r="B12" s="6"/>
      <c r="C12" s="6"/>
      <c r="D12" s="6"/>
      <c r="E12" s="6"/>
      <c r="F12" s="6"/>
      <c r="G12" s="6"/>
      <c r="H12" s="6"/>
      <c r="I12" s="6"/>
      <c r="J12" s="6"/>
      <c r="K12" s="6"/>
      <c r="L12" s="6"/>
      <c r="M12" s="6"/>
      <c r="N12" s="6"/>
      <c r="O12" s="6"/>
      <c r="P12" s="6"/>
    </row>
    <row r="13" spans="1:16" x14ac:dyDescent="0.3">
      <c r="A13" s="6"/>
      <c r="B13" s="6"/>
      <c r="C13" s="6"/>
      <c r="D13" s="6"/>
      <c r="E13" s="6"/>
      <c r="F13" s="6"/>
      <c r="G13" s="6"/>
      <c r="H13" s="6"/>
      <c r="I13" s="6"/>
      <c r="J13" s="6"/>
      <c r="K13" s="6"/>
      <c r="L13" s="6"/>
      <c r="M13" s="6"/>
      <c r="N13" s="6"/>
      <c r="O13" s="6"/>
      <c r="P13" s="6"/>
    </row>
    <row r="14" spans="1:16" x14ac:dyDescent="0.3">
      <c r="A14" s="6"/>
      <c r="B14" s="6"/>
      <c r="C14" s="6"/>
      <c r="D14" s="6"/>
      <c r="E14" s="6"/>
      <c r="F14" s="6"/>
      <c r="G14" s="6"/>
      <c r="H14" s="6"/>
      <c r="I14" s="6"/>
      <c r="J14" s="6"/>
      <c r="K14" s="6"/>
      <c r="L14" s="6"/>
      <c r="M14" s="6"/>
      <c r="N14" s="6"/>
      <c r="O14" s="6"/>
      <c r="P14" s="6"/>
    </row>
    <row r="15" spans="1:16" x14ac:dyDescent="0.3">
      <c r="A15" s="6"/>
      <c r="B15" s="6"/>
      <c r="C15" s="6"/>
      <c r="D15" s="6"/>
      <c r="E15" s="6"/>
      <c r="F15" s="6"/>
      <c r="G15" s="6"/>
      <c r="H15" s="6"/>
      <c r="I15" s="6"/>
      <c r="J15" s="6"/>
      <c r="K15" s="6"/>
      <c r="L15" s="6"/>
      <c r="M15" s="6"/>
      <c r="N15" s="6"/>
      <c r="O15" s="6"/>
      <c r="P15" s="6"/>
    </row>
    <row r="16" spans="1:16" x14ac:dyDescent="0.3">
      <c r="A16" s="6"/>
      <c r="B16" s="6"/>
      <c r="C16" s="6"/>
      <c r="D16" s="6"/>
      <c r="E16" s="6"/>
      <c r="F16" s="6"/>
      <c r="G16" s="6"/>
      <c r="H16" s="6"/>
      <c r="I16" s="6"/>
      <c r="J16" s="6"/>
      <c r="K16" s="6"/>
      <c r="L16" s="6"/>
      <c r="M16" s="6"/>
      <c r="N16" s="6"/>
      <c r="O16" s="6"/>
      <c r="P16" s="6"/>
    </row>
    <row r="17" spans="1:16" x14ac:dyDescent="0.3">
      <c r="A17" s="6"/>
      <c r="B17" s="6"/>
      <c r="C17" s="6"/>
      <c r="D17" s="6"/>
      <c r="E17" s="6"/>
      <c r="F17" s="6"/>
      <c r="G17" s="6"/>
      <c r="H17" s="6"/>
      <c r="I17" s="6"/>
      <c r="J17" s="6"/>
      <c r="K17" s="6"/>
      <c r="L17" s="6"/>
      <c r="M17" s="6"/>
      <c r="N17" s="6"/>
      <c r="O17" s="6"/>
      <c r="P17" s="6"/>
    </row>
    <row r="18" spans="1:16" x14ac:dyDescent="0.3">
      <c r="A18" s="6"/>
      <c r="B18" s="6"/>
      <c r="C18" s="6"/>
      <c r="D18" s="6"/>
      <c r="E18" s="6"/>
      <c r="F18" s="6"/>
      <c r="G18" s="6"/>
      <c r="H18" s="6"/>
      <c r="I18" s="6"/>
      <c r="J18" s="6"/>
      <c r="K18" s="6"/>
      <c r="L18" s="6"/>
      <c r="M18" s="6"/>
      <c r="N18" s="6"/>
      <c r="O18" s="6"/>
      <c r="P18" s="6"/>
    </row>
    <row r="19" spans="1:16" x14ac:dyDescent="0.3">
      <c r="A19" s="6"/>
      <c r="B19" s="6"/>
      <c r="C19" s="6"/>
      <c r="D19" s="6"/>
      <c r="E19" s="6"/>
      <c r="F19" s="6"/>
      <c r="G19" s="6"/>
      <c r="H19" s="6"/>
      <c r="I19" s="6"/>
      <c r="J19" s="6"/>
      <c r="K19" s="6"/>
      <c r="L19" s="6"/>
      <c r="M19" s="6"/>
      <c r="N19" s="6"/>
      <c r="O19" s="6"/>
      <c r="P19" s="6"/>
    </row>
    <row r="20" spans="1:16" x14ac:dyDescent="0.3">
      <c r="A20" s="6"/>
      <c r="B20" s="6"/>
      <c r="C20" s="6"/>
      <c r="D20" s="6"/>
      <c r="E20" s="6"/>
      <c r="F20" s="6"/>
      <c r="G20" s="6"/>
      <c r="H20" s="6"/>
      <c r="I20" s="6"/>
      <c r="J20" s="6"/>
      <c r="K20" s="6"/>
      <c r="L20" s="6"/>
      <c r="M20" s="6"/>
      <c r="N20" s="6"/>
      <c r="O20" s="6"/>
      <c r="P20" s="6"/>
    </row>
    <row r="21" spans="1:16" x14ac:dyDescent="0.3">
      <c r="A21" s="6"/>
      <c r="B21" s="6"/>
      <c r="C21" s="6"/>
      <c r="D21" s="6"/>
      <c r="E21" s="6"/>
      <c r="F21" s="6"/>
      <c r="G21" s="6"/>
      <c r="H21" s="6"/>
      <c r="I21" s="6"/>
      <c r="J21" s="6"/>
      <c r="K21" s="6"/>
      <c r="L21" s="6"/>
      <c r="M21" s="6"/>
      <c r="N21" s="6"/>
      <c r="O21" s="6"/>
      <c r="P21" s="6"/>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0796FD-FB38-4BD5-A569-337E11A63E14}">
  <dimension ref="A1:U31"/>
  <sheetViews>
    <sheetView workbookViewId="0"/>
  </sheetViews>
  <sheetFormatPr defaultRowHeight="14.4" x14ac:dyDescent="0.3"/>
  <sheetData>
    <row r="1" spans="1:21" x14ac:dyDescent="0.3">
      <c r="A1" s="7"/>
      <c r="B1" s="7"/>
      <c r="C1" s="7"/>
      <c r="D1" s="7"/>
      <c r="E1" s="7"/>
      <c r="F1" s="7"/>
      <c r="G1" s="7"/>
      <c r="H1" s="7"/>
      <c r="I1" s="7"/>
      <c r="J1" s="7"/>
      <c r="K1" s="7"/>
      <c r="L1" s="7"/>
      <c r="M1" s="7"/>
      <c r="N1" s="7"/>
      <c r="O1" s="7"/>
      <c r="P1" s="7"/>
      <c r="Q1" s="7"/>
      <c r="R1" s="7"/>
      <c r="S1" s="7"/>
      <c r="T1" s="7"/>
      <c r="U1" s="7"/>
    </row>
    <row r="2" spans="1:21" x14ac:dyDescent="0.3">
      <c r="A2" s="7"/>
      <c r="B2" s="7"/>
      <c r="C2" s="7"/>
      <c r="D2" s="7"/>
      <c r="E2" s="7"/>
      <c r="F2" s="7"/>
      <c r="G2" s="7"/>
      <c r="H2" s="7"/>
      <c r="I2" s="7"/>
      <c r="J2" s="7"/>
      <c r="K2" s="7"/>
      <c r="L2" s="7"/>
      <c r="M2" s="7"/>
      <c r="N2" s="7"/>
      <c r="O2" s="7"/>
      <c r="P2" s="7"/>
      <c r="Q2" s="7"/>
      <c r="R2" s="7"/>
      <c r="S2" s="7"/>
      <c r="T2" s="7"/>
      <c r="U2" s="7"/>
    </row>
    <row r="3" spans="1:21" x14ac:dyDescent="0.3">
      <c r="A3" s="7"/>
      <c r="B3" s="7"/>
      <c r="C3" s="7"/>
      <c r="D3" s="7"/>
      <c r="E3" s="7"/>
      <c r="F3" s="7"/>
      <c r="G3" s="7"/>
      <c r="H3" s="7"/>
      <c r="I3" s="7"/>
      <c r="J3" s="7"/>
      <c r="K3" s="7"/>
      <c r="L3" s="7"/>
      <c r="M3" s="7"/>
      <c r="N3" s="7"/>
      <c r="O3" s="7"/>
      <c r="P3" s="7"/>
      <c r="Q3" s="7"/>
      <c r="R3" s="7"/>
      <c r="S3" s="7"/>
      <c r="T3" s="7"/>
      <c r="U3" s="7"/>
    </row>
    <row r="4" spans="1:21" x14ac:dyDescent="0.3">
      <c r="A4" s="7"/>
      <c r="B4" s="7"/>
      <c r="C4" s="7"/>
      <c r="D4" s="7"/>
      <c r="E4" s="7"/>
      <c r="F4" s="7"/>
      <c r="G4" s="7"/>
      <c r="H4" s="7"/>
      <c r="I4" s="7"/>
      <c r="J4" s="7"/>
      <c r="K4" s="7"/>
      <c r="L4" s="7"/>
      <c r="M4" s="7"/>
      <c r="N4" s="7"/>
      <c r="O4" s="7"/>
      <c r="P4" s="7"/>
      <c r="Q4" s="7"/>
      <c r="R4" s="7"/>
      <c r="S4" s="7"/>
      <c r="T4" s="7"/>
      <c r="U4" s="7"/>
    </row>
    <row r="5" spans="1:21" x14ac:dyDescent="0.3">
      <c r="A5" s="7"/>
      <c r="B5" s="7"/>
      <c r="C5" s="7"/>
      <c r="D5" s="7"/>
      <c r="E5" s="7"/>
      <c r="F5" s="7"/>
      <c r="G5" s="7"/>
      <c r="H5" s="7"/>
      <c r="I5" s="7"/>
      <c r="J5" s="7"/>
      <c r="K5" s="7"/>
      <c r="L5" s="7"/>
      <c r="M5" s="7"/>
      <c r="N5" s="7"/>
      <c r="O5" s="7"/>
      <c r="P5" s="7"/>
      <c r="Q5" s="7"/>
      <c r="R5" s="7"/>
      <c r="S5" s="7"/>
      <c r="T5" s="7"/>
      <c r="U5" s="7"/>
    </row>
    <row r="6" spans="1:21" x14ac:dyDescent="0.3">
      <c r="A6" s="7"/>
      <c r="B6" s="7"/>
      <c r="C6" s="7"/>
      <c r="D6" s="7"/>
      <c r="E6" s="7"/>
      <c r="F6" s="7"/>
      <c r="G6" s="7"/>
      <c r="H6" s="7"/>
      <c r="I6" s="7"/>
      <c r="J6" s="7"/>
      <c r="K6" s="7"/>
      <c r="L6" s="7"/>
      <c r="M6" s="7"/>
      <c r="N6" s="7"/>
      <c r="O6" s="7"/>
      <c r="P6" s="7"/>
      <c r="Q6" s="7"/>
      <c r="R6" s="7"/>
      <c r="S6" s="7"/>
      <c r="T6" s="7"/>
      <c r="U6" s="7"/>
    </row>
    <row r="7" spans="1:21" x14ac:dyDescent="0.3">
      <c r="A7" s="7"/>
      <c r="B7" s="7"/>
      <c r="C7" s="7"/>
      <c r="D7" s="7"/>
      <c r="E7" s="7"/>
      <c r="F7" s="7"/>
      <c r="G7" s="7"/>
      <c r="H7" s="7"/>
      <c r="I7" s="7"/>
      <c r="J7" s="7"/>
      <c r="K7" s="7"/>
      <c r="L7" s="7"/>
      <c r="M7" s="7"/>
      <c r="N7" s="7"/>
      <c r="O7" s="7"/>
      <c r="P7" s="7"/>
      <c r="Q7" s="7"/>
      <c r="R7" s="7"/>
      <c r="S7" s="7"/>
      <c r="T7" s="7"/>
      <c r="U7" s="7"/>
    </row>
    <row r="8" spans="1:21" x14ac:dyDescent="0.3">
      <c r="A8" s="7"/>
      <c r="B8" s="7"/>
      <c r="C8" s="7"/>
      <c r="D8" s="7"/>
      <c r="E8" s="7"/>
      <c r="F8" s="7"/>
      <c r="G8" s="7"/>
      <c r="H8" s="7"/>
      <c r="I8" s="7"/>
      <c r="J8" s="7"/>
      <c r="K8" s="7"/>
      <c r="L8" s="7"/>
      <c r="M8" s="7"/>
      <c r="N8" s="7"/>
      <c r="O8" s="7"/>
      <c r="P8" s="7"/>
      <c r="Q8" s="7"/>
      <c r="R8" s="7"/>
      <c r="S8" s="7"/>
      <c r="T8" s="7"/>
      <c r="U8" s="7"/>
    </row>
    <row r="9" spans="1:21" x14ac:dyDescent="0.3">
      <c r="A9" s="7"/>
      <c r="B9" s="7"/>
      <c r="C9" s="7"/>
      <c r="D9" s="7"/>
      <c r="E9" s="7"/>
      <c r="F9" s="7"/>
      <c r="G9" s="7"/>
      <c r="H9" s="7"/>
      <c r="I9" s="7"/>
      <c r="J9" s="7"/>
      <c r="K9" s="7"/>
      <c r="L9" s="7"/>
      <c r="M9" s="7"/>
      <c r="N9" s="7"/>
      <c r="O9" s="7"/>
      <c r="P9" s="7"/>
      <c r="Q9" s="7"/>
      <c r="R9" s="7"/>
      <c r="S9" s="7"/>
      <c r="T9" s="7"/>
      <c r="U9" s="7"/>
    </row>
    <row r="10" spans="1:21" x14ac:dyDescent="0.3">
      <c r="A10" s="7"/>
      <c r="B10" s="7"/>
      <c r="C10" s="7"/>
      <c r="D10" s="7"/>
      <c r="E10" s="7"/>
      <c r="F10" s="7"/>
      <c r="G10" s="7"/>
      <c r="H10" s="7"/>
      <c r="I10" s="7"/>
      <c r="J10" s="7"/>
      <c r="K10" s="7"/>
      <c r="L10" s="7"/>
      <c r="M10" s="7"/>
      <c r="N10" s="7"/>
      <c r="O10" s="7"/>
      <c r="P10" s="7"/>
      <c r="Q10" s="7"/>
      <c r="R10" s="7"/>
      <c r="S10" s="7"/>
      <c r="T10" s="7"/>
      <c r="U10" s="7"/>
    </row>
    <row r="11" spans="1:21" x14ac:dyDescent="0.3">
      <c r="A11" s="7"/>
      <c r="B11" s="7"/>
      <c r="C11" s="7"/>
      <c r="D11" s="7"/>
      <c r="E11" s="7"/>
      <c r="F11" s="7"/>
      <c r="G11" s="7"/>
      <c r="H11" s="7"/>
      <c r="I11" s="7"/>
      <c r="J11" s="7"/>
      <c r="K11" s="7"/>
      <c r="L11" s="7"/>
      <c r="M11" s="7"/>
      <c r="N11" s="7"/>
      <c r="O11" s="7"/>
      <c r="P11" s="7"/>
      <c r="Q11" s="7"/>
      <c r="R11" s="7"/>
      <c r="S11" s="7"/>
      <c r="T11" s="7"/>
      <c r="U11" s="7"/>
    </row>
    <row r="12" spans="1:21" x14ac:dyDescent="0.3">
      <c r="A12" s="7"/>
      <c r="B12" s="7"/>
      <c r="C12" s="7"/>
      <c r="D12" s="7"/>
      <c r="E12" s="7"/>
      <c r="F12" s="7"/>
      <c r="G12" s="7"/>
      <c r="H12" s="7"/>
      <c r="I12" s="7"/>
      <c r="J12" s="7"/>
      <c r="K12" s="7"/>
      <c r="L12" s="7"/>
      <c r="M12" s="7"/>
      <c r="N12" s="7"/>
      <c r="O12" s="7"/>
      <c r="P12" s="7"/>
      <c r="Q12" s="7"/>
      <c r="R12" s="7"/>
      <c r="S12" s="7"/>
      <c r="T12" s="7"/>
      <c r="U12" s="7"/>
    </row>
    <row r="13" spans="1:21" x14ac:dyDescent="0.3">
      <c r="A13" s="7"/>
      <c r="B13" s="7"/>
      <c r="C13" s="7"/>
      <c r="D13" s="7"/>
      <c r="E13" s="7"/>
      <c r="F13" s="7"/>
      <c r="G13" s="7"/>
      <c r="H13" s="7"/>
      <c r="I13" s="7"/>
      <c r="J13" s="7"/>
      <c r="K13" s="7"/>
      <c r="L13" s="7"/>
      <c r="M13" s="7"/>
      <c r="N13" s="7"/>
      <c r="O13" s="7"/>
      <c r="P13" s="7"/>
      <c r="Q13" s="7"/>
      <c r="R13" s="7"/>
      <c r="S13" s="7"/>
      <c r="T13" s="7"/>
      <c r="U13" s="7"/>
    </row>
    <row r="14" spans="1:21" x14ac:dyDescent="0.3">
      <c r="A14" s="7"/>
      <c r="B14" s="7"/>
      <c r="C14" s="7"/>
      <c r="D14" s="7"/>
      <c r="E14" s="7"/>
      <c r="F14" s="7"/>
      <c r="G14" s="7"/>
      <c r="H14" s="7"/>
      <c r="I14" s="7"/>
      <c r="J14" s="7"/>
      <c r="K14" s="7"/>
      <c r="L14" s="7"/>
      <c r="M14" s="7"/>
      <c r="N14" s="7"/>
      <c r="O14" s="7"/>
      <c r="P14" s="7"/>
      <c r="Q14" s="7"/>
      <c r="R14" s="7"/>
      <c r="S14" s="7"/>
      <c r="T14" s="7"/>
      <c r="U14" s="7"/>
    </row>
    <row r="15" spans="1:21" x14ac:dyDescent="0.3">
      <c r="A15" s="7"/>
      <c r="B15" s="7"/>
      <c r="C15" s="7"/>
      <c r="D15" s="7"/>
      <c r="E15" s="7"/>
      <c r="F15" s="7"/>
      <c r="G15" s="7"/>
      <c r="H15" s="7"/>
      <c r="I15" s="7"/>
      <c r="J15" s="7"/>
      <c r="K15" s="7"/>
      <c r="L15" s="7"/>
      <c r="M15" s="7"/>
      <c r="N15" s="7"/>
      <c r="O15" s="7"/>
      <c r="P15" s="7"/>
      <c r="Q15" s="7"/>
      <c r="R15" s="7"/>
      <c r="S15" s="7"/>
      <c r="T15" s="7"/>
      <c r="U15" s="7"/>
    </row>
    <row r="16" spans="1:21" x14ac:dyDescent="0.3">
      <c r="A16" s="7"/>
      <c r="B16" s="7"/>
      <c r="C16" s="7"/>
      <c r="D16" s="7"/>
      <c r="E16" s="7"/>
      <c r="F16" s="7"/>
      <c r="G16" s="7"/>
      <c r="H16" s="7"/>
      <c r="I16" s="7"/>
      <c r="J16" s="7"/>
      <c r="K16" s="7"/>
      <c r="L16" s="7"/>
      <c r="M16" s="7"/>
      <c r="N16" s="7"/>
      <c r="O16" s="7"/>
      <c r="P16" s="7"/>
      <c r="Q16" s="7"/>
      <c r="R16" s="7"/>
      <c r="S16" s="7"/>
      <c r="T16" s="7"/>
      <c r="U16" s="7"/>
    </row>
    <row r="17" spans="1:21" x14ac:dyDescent="0.3">
      <c r="A17" s="7"/>
      <c r="B17" s="7"/>
      <c r="C17" s="7"/>
      <c r="D17" s="7"/>
      <c r="E17" s="7"/>
      <c r="F17" s="7"/>
      <c r="G17" s="7"/>
      <c r="H17" s="7"/>
      <c r="I17" s="7"/>
      <c r="J17" s="7"/>
      <c r="K17" s="7"/>
      <c r="L17" s="7"/>
      <c r="M17" s="7"/>
      <c r="N17" s="7"/>
      <c r="O17" s="7"/>
      <c r="P17" s="7"/>
      <c r="Q17" s="7"/>
      <c r="R17" s="7"/>
      <c r="S17" s="7"/>
      <c r="T17" s="7"/>
      <c r="U17" s="7"/>
    </row>
    <row r="18" spans="1:21" x14ac:dyDescent="0.3">
      <c r="A18" s="7"/>
      <c r="B18" s="7"/>
      <c r="C18" s="7"/>
      <c r="D18" s="7"/>
      <c r="E18" s="7"/>
      <c r="F18" s="7"/>
      <c r="G18" s="7"/>
      <c r="H18" s="7"/>
      <c r="I18" s="7"/>
      <c r="J18" s="7"/>
      <c r="K18" s="7"/>
      <c r="L18" s="7"/>
      <c r="M18" s="7"/>
      <c r="N18" s="7"/>
      <c r="O18" s="7"/>
      <c r="P18" s="7"/>
      <c r="Q18" s="7"/>
      <c r="R18" s="7"/>
      <c r="S18" s="7"/>
      <c r="T18" s="7"/>
      <c r="U18" s="7"/>
    </row>
    <row r="19" spans="1:21" x14ac:dyDescent="0.3">
      <c r="A19" s="7"/>
      <c r="B19" s="7"/>
      <c r="C19" s="7"/>
      <c r="D19" s="7"/>
      <c r="E19" s="7"/>
      <c r="F19" s="7"/>
      <c r="G19" s="7"/>
      <c r="H19" s="7"/>
      <c r="I19" s="7"/>
      <c r="J19" s="7"/>
      <c r="K19" s="7"/>
      <c r="L19" s="7"/>
      <c r="M19" s="7"/>
      <c r="N19" s="7"/>
      <c r="O19" s="7"/>
      <c r="P19" s="7"/>
      <c r="Q19" s="7"/>
      <c r="R19" s="7"/>
      <c r="S19" s="7"/>
      <c r="T19" s="7"/>
      <c r="U19" s="7"/>
    </row>
    <row r="20" spans="1:21" x14ac:dyDescent="0.3">
      <c r="A20" s="7"/>
      <c r="B20" s="7"/>
      <c r="C20" s="7"/>
      <c r="D20" s="7"/>
      <c r="E20" s="7"/>
      <c r="F20" s="7"/>
      <c r="G20" s="7"/>
      <c r="H20" s="7"/>
      <c r="I20" s="7"/>
      <c r="J20" s="7"/>
      <c r="K20" s="7"/>
      <c r="L20" s="7"/>
      <c r="M20" s="7"/>
      <c r="N20" s="7"/>
      <c r="O20" s="7"/>
      <c r="P20" s="7"/>
      <c r="Q20" s="7"/>
      <c r="R20" s="7"/>
      <c r="S20" s="7"/>
      <c r="T20" s="7"/>
      <c r="U20" s="7"/>
    </row>
    <row r="21" spans="1:21" x14ac:dyDescent="0.3">
      <c r="A21" s="7"/>
      <c r="B21" s="7"/>
      <c r="C21" s="7"/>
      <c r="D21" s="7"/>
      <c r="E21" s="7"/>
      <c r="F21" s="7"/>
      <c r="G21" s="7"/>
      <c r="H21" s="7"/>
      <c r="I21" s="7"/>
      <c r="J21" s="7"/>
      <c r="K21" s="7"/>
      <c r="L21" s="7"/>
      <c r="M21" s="7"/>
      <c r="N21" s="7"/>
      <c r="O21" s="7"/>
      <c r="P21" s="7"/>
      <c r="Q21" s="7"/>
      <c r="R21" s="7"/>
      <c r="S21" s="7"/>
      <c r="T21" s="7"/>
      <c r="U21" s="7"/>
    </row>
    <row r="22" spans="1:21" x14ac:dyDescent="0.3">
      <c r="A22" s="7"/>
      <c r="B22" s="7"/>
      <c r="C22" s="7"/>
      <c r="D22" s="7"/>
      <c r="E22" s="7"/>
      <c r="F22" s="7"/>
      <c r="G22" s="7"/>
      <c r="H22" s="7"/>
      <c r="I22" s="7"/>
      <c r="J22" s="7"/>
      <c r="K22" s="7"/>
      <c r="L22" s="7"/>
      <c r="M22" s="7"/>
      <c r="N22" s="7"/>
      <c r="O22" s="7"/>
      <c r="P22" s="7"/>
      <c r="Q22" s="7"/>
      <c r="R22" s="7"/>
      <c r="S22" s="7"/>
      <c r="T22" s="7"/>
      <c r="U22" s="7"/>
    </row>
    <row r="23" spans="1:21" x14ac:dyDescent="0.3">
      <c r="A23" s="7"/>
      <c r="B23" s="7"/>
      <c r="C23" s="7"/>
      <c r="D23" s="7"/>
      <c r="E23" s="7"/>
      <c r="F23" s="7"/>
      <c r="G23" s="7"/>
      <c r="H23" s="7"/>
      <c r="I23" s="7"/>
      <c r="J23" s="7"/>
      <c r="K23" s="7"/>
      <c r="L23" s="7"/>
      <c r="M23" s="7"/>
      <c r="N23" s="7"/>
      <c r="O23" s="7"/>
      <c r="P23" s="7"/>
      <c r="Q23" s="7"/>
      <c r="R23" s="7"/>
      <c r="S23" s="7"/>
      <c r="T23" s="7"/>
      <c r="U23" s="7"/>
    </row>
    <row r="24" spans="1:21" x14ac:dyDescent="0.3">
      <c r="A24" s="7"/>
      <c r="B24" s="7"/>
      <c r="C24" s="7"/>
      <c r="D24" s="7"/>
      <c r="E24" s="7"/>
      <c r="F24" s="7"/>
      <c r="G24" s="7"/>
      <c r="H24" s="7"/>
      <c r="I24" s="7"/>
      <c r="J24" s="7"/>
      <c r="K24" s="7"/>
      <c r="L24" s="7"/>
      <c r="M24" s="7"/>
      <c r="N24" s="7"/>
      <c r="O24" s="7"/>
      <c r="P24" s="7"/>
      <c r="Q24" s="7"/>
      <c r="R24" s="7"/>
      <c r="S24" s="7"/>
      <c r="T24" s="7"/>
      <c r="U24" s="7"/>
    </row>
    <row r="25" spans="1:21" x14ac:dyDescent="0.3">
      <c r="A25" s="7"/>
      <c r="B25" s="7"/>
      <c r="C25" s="7"/>
      <c r="D25" s="7"/>
      <c r="E25" s="7"/>
      <c r="F25" s="7"/>
      <c r="G25" s="7"/>
      <c r="H25" s="7"/>
      <c r="I25" s="7"/>
      <c r="J25" s="7"/>
      <c r="K25" s="7"/>
      <c r="L25" s="7"/>
      <c r="M25" s="7"/>
      <c r="N25" s="7"/>
      <c r="O25" s="7"/>
      <c r="P25" s="7"/>
      <c r="Q25" s="7"/>
      <c r="R25" s="7"/>
      <c r="S25" s="7"/>
      <c r="T25" s="7"/>
      <c r="U25" s="7"/>
    </row>
    <row r="26" spans="1:21" x14ac:dyDescent="0.3">
      <c r="A26" s="7"/>
      <c r="B26" s="7"/>
      <c r="C26" s="7"/>
      <c r="D26" s="7"/>
      <c r="E26" s="7"/>
      <c r="F26" s="7"/>
      <c r="G26" s="7"/>
      <c r="H26" s="7"/>
      <c r="I26" s="7"/>
      <c r="J26" s="7"/>
      <c r="K26" s="7"/>
      <c r="L26" s="7"/>
      <c r="M26" s="7"/>
      <c r="N26" s="7"/>
      <c r="O26" s="7"/>
      <c r="P26" s="7"/>
      <c r="Q26" s="7"/>
      <c r="R26" s="7"/>
      <c r="S26" s="7"/>
      <c r="T26" s="7"/>
      <c r="U26" s="7"/>
    </row>
    <row r="27" spans="1:21" x14ac:dyDescent="0.3">
      <c r="A27" s="7"/>
      <c r="B27" s="7"/>
      <c r="C27" s="7"/>
      <c r="D27" s="7"/>
      <c r="E27" s="7"/>
      <c r="F27" s="7"/>
      <c r="G27" s="7"/>
      <c r="H27" s="7"/>
      <c r="I27" s="7"/>
      <c r="J27" s="7"/>
      <c r="K27" s="7"/>
      <c r="L27" s="7"/>
      <c r="M27" s="7"/>
      <c r="N27" s="7"/>
      <c r="O27" s="7"/>
      <c r="P27" s="7"/>
      <c r="Q27" s="7"/>
      <c r="R27" s="7"/>
      <c r="S27" s="7"/>
      <c r="T27" s="7"/>
      <c r="U27" s="7"/>
    </row>
    <row r="28" spans="1:21" x14ac:dyDescent="0.3">
      <c r="A28" s="7"/>
      <c r="B28" s="7"/>
      <c r="C28" s="7"/>
      <c r="D28" s="7"/>
      <c r="E28" s="7"/>
      <c r="F28" s="7"/>
      <c r="G28" s="7"/>
      <c r="H28" s="7"/>
      <c r="I28" s="7"/>
      <c r="J28" s="7"/>
      <c r="K28" s="7"/>
      <c r="L28" s="7"/>
      <c r="M28" s="7"/>
      <c r="N28" s="7"/>
      <c r="O28" s="7"/>
      <c r="P28" s="7"/>
      <c r="Q28" s="7"/>
      <c r="R28" s="7"/>
      <c r="S28" s="7"/>
      <c r="T28" s="7"/>
      <c r="U28" s="7"/>
    </row>
    <row r="29" spans="1:21" x14ac:dyDescent="0.3">
      <c r="A29" s="7"/>
      <c r="B29" s="7"/>
      <c r="C29" s="7"/>
      <c r="D29" s="7"/>
      <c r="E29" s="7"/>
      <c r="F29" s="7"/>
      <c r="G29" s="7"/>
      <c r="H29" s="7"/>
      <c r="I29" s="7"/>
      <c r="J29" s="7"/>
      <c r="K29" s="7"/>
      <c r="L29" s="7"/>
      <c r="M29" s="7"/>
      <c r="N29" s="7"/>
      <c r="O29" s="7"/>
      <c r="P29" s="7"/>
      <c r="Q29" s="7"/>
      <c r="R29" s="7"/>
      <c r="S29" s="7"/>
      <c r="T29" s="7"/>
      <c r="U29" s="7"/>
    </row>
    <row r="30" spans="1:21" x14ac:dyDescent="0.3">
      <c r="A30" s="7"/>
      <c r="B30" s="7"/>
      <c r="C30" s="7"/>
      <c r="D30" s="7"/>
      <c r="E30" s="7"/>
      <c r="F30" s="7"/>
      <c r="G30" s="7"/>
      <c r="H30" s="7"/>
      <c r="I30" s="7"/>
      <c r="J30" s="7"/>
      <c r="K30" s="7"/>
      <c r="L30" s="7"/>
      <c r="M30" s="7"/>
      <c r="N30" s="7"/>
      <c r="O30" s="7"/>
      <c r="P30" s="7"/>
      <c r="Q30" s="7"/>
      <c r="R30" s="7"/>
      <c r="S30" s="7"/>
      <c r="T30" s="7"/>
      <c r="U30" s="7"/>
    </row>
    <row r="31" spans="1:21" x14ac:dyDescent="0.3">
      <c r="A31" s="7"/>
      <c r="B31" s="7"/>
      <c r="C31" s="7"/>
      <c r="D31" s="7"/>
      <c r="E31" s="7"/>
      <c r="F31" s="7"/>
      <c r="G31" s="7"/>
      <c r="H31" s="7"/>
      <c r="I31" s="7"/>
      <c r="J31" s="7"/>
      <c r="K31" s="7"/>
      <c r="L31" s="7"/>
      <c r="M31" s="7"/>
      <c r="N31" s="7"/>
      <c r="O31" s="7"/>
      <c r="P31" s="7"/>
      <c r="Q31" s="7"/>
      <c r="R31" s="7"/>
      <c r="S31" s="7"/>
      <c r="T31" s="7"/>
      <c r="U31" s="7"/>
    </row>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Props1.xml><?xml version="1.0" encoding="utf-8"?>
<ds:datastoreItem xmlns:ds="http://schemas.openxmlformats.org/officeDocument/2006/customXml" ds:itemID="{B3BEEF40-7E4D-41B5-BECD-7C9FC3E26E56}">
  <ds:schemaRefs/>
</ds:datastoreItem>
</file>

<file path=customXml/itemProps2.xml><?xml version="1.0" encoding="utf-8"?>
<ds:datastoreItem xmlns:ds="http://schemas.openxmlformats.org/officeDocument/2006/customXml" ds:itemID="{3B02F62C-7D78-4707-84F5-10FC979DA4FE}">
  <ds:schemaRefs/>
</ds:datastoreItem>
</file>

<file path=customXml/itemProps3.xml><?xml version="1.0" encoding="utf-8"?>
<ds:datastoreItem xmlns:ds="http://schemas.openxmlformats.org/officeDocument/2006/customXml" ds:itemID="{4EF81043-3052-42DD-B822-C0C379F68FE8}">
  <ds:schemaRefs/>
</ds:datastoreItem>
</file>

<file path=customXml/itemProps4.xml><?xml version="1.0" encoding="utf-8"?>
<ds:datastoreItem xmlns:ds="http://schemas.openxmlformats.org/officeDocument/2006/customXml" ds:itemID="{60AF997F-149B-428F-90CB-79ADE0B1AF87}">
  <ds:schemaRefs/>
</ds:datastoreItem>
</file>

<file path=customXml/itemProps5.xml><?xml version="1.0" encoding="utf-8"?>
<ds:datastoreItem xmlns:ds="http://schemas.openxmlformats.org/officeDocument/2006/customXml" ds:itemID="{3E13933B-CC3B-4181-937B-120E3654E804}">
  <ds:schemaRefs/>
</ds:datastoreItem>
</file>

<file path=customXml/itemProps6.xml><?xml version="1.0" encoding="utf-8"?>
<ds:datastoreItem xmlns:ds="http://schemas.openxmlformats.org/officeDocument/2006/customXml" ds:itemID="{23C69421-07AE-4DEC-8E31-E43D0B2D45B1}">
  <ds:schemaRefs/>
</ds:datastoreItem>
</file>

<file path=customXml/itemProps7.xml><?xml version="1.0" encoding="utf-8"?>
<ds:datastoreItem xmlns:ds="http://schemas.openxmlformats.org/officeDocument/2006/customXml" ds:itemID="{ED47E92C-9C90-4F30-A87A-EDE8C782528E}">
  <ds:schemaRefs/>
</ds:datastoreItem>
</file>

<file path=customXml/itemProps8.xml><?xml version="1.0" encoding="utf-8"?>
<ds:datastoreItem xmlns:ds="http://schemas.openxmlformats.org/officeDocument/2006/customXml" ds:itemID="{844CCAD2-1461-4CCF-898F-F65C28979B46}">
  <ds:schemaRefs/>
</ds:datastoreItem>
</file>

<file path=customXml/itemProps9.xml><?xml version="1.0" encoding="utf-8"?>
<ds:datastoreItem xmlns:ds="http://schemas.openxmlformats.org/officeDocument/2006/customXml" ds:itemID="{F5B7BD10-9F3B-4538-91A5-BA950ED31535}">
  <ds:schemaRefs/>
</ds:datastoreItem>
</file>

<file path=customXml/itemProps10.xml><?xml version="1.0" encoding="utf-8"?>
<ds:datastoreItem xmlns:ds="http://schemas.openxmlformats.org/officeDocument/2006/customXml" ds:itemID="{11C0449B-585D-4771-8684-887350817F3D}">
  <ds:schemaRefs/>
</ds:datastoreItem>
</file>

<file path=customXml/itemProps11.xml><?xml version="1.0" encoding="utf-8"?>
<ds:datastoreItem xmlns:ds="http://schemas.openxmlformats.org/officeDocument/2006/customXml" ds:itemID="{0CCAED0D-D325-4960-A82E-97B4F712C29D}">
  <ds:schemaRefs/>
</ds:datastoreItem>
</file>

<file path=customXml/itemProps12.xml><?xml version="1.0" encoding="utf-8"?>
<ds:datastoreItem xmlns:ds="http://schemas.openxmlformats.org/officeDocument/2006/customXml" ds:itemID="{EADF5226-5AC2-41AB-AC0D-F1A5AD8D180C}">
  <ds:schemaRefs>
    <ds:schemaRef ds:uri="http://schemas.microsoft.com/DataMashup"/>
  </ds:schemaRefs>
</ds:datastoreItem>
</file>

<file path=customXml/itemProps13.xml><?xml version="1.0" encoding="utf-8"?>
<ds:datastoreItem xmlns:ds="http://schemas.openxmlformats.org/officeDocument/2006/customXml" ds:itemID="{28B0A475-FD61-493C-9E1D-1AD9D178A01E}">
  <ds:schemaRefs/>
</ds:datastoreItem>
</file>

<file path=customXml/itemProps14.xml><?xml version="1.0" encoding="utf-8"?>
<ds:datastoreItem xmlns:ds="http://schemas.openxmlformats.org/officeDocument/2006/customXml" ds:itemID="{DA591394-A0D1-4B05-9472-E4BC01B61793}">
  <ds:schemaRefs/>
</ds:datastoreItem>
</file>

<file path=customXml/itemProps15.xml><?xml version="1.0" encoding="utf-8"?>
<ds:datastoreItem xmlns:ds="http://schemas.openxmlformats.org/officeDocument/2006/customXml" ds:itemID="{99F5625C-8409-48C8-87E5-B9461D845BD9}">
  <ds:schemaRefs/>
</ds:datastoreItem>
</file>

<file path=customXml/itemProps16.xml><?xml version="1.0" encoding="utf-8"?>
<ds:datastoreItem xmlns:ds="http://schemas.openxmlformats.org/officeDocument/2006/customXml" ds:itemID="{A42BA4F3-0E02-42B4-B38D-D4F0ACC6F9B3}">
  <ds:schemaRefs/>
</ds:datastoreItem>
</file>

<file path=customXml/itemProps17.xml><?xml version="1.0" encoding="utf-8"?>
<ds:datastoreItem xmlns:ds="http://schemas.openxmlformats.org/officeDocument/2006/customXml" ds:itemID="{D9504547-F397-4E7E-B3FC-993AF21FF76A}">
  <ds:schemaRefs/>
</ds:datastoreItem>
</file>

<file path=customXml/itemProps18.xml><?xml version="1.0" encoding="utf-8"?>
<ds:datastoreItem xmlns:ds="http://schemas.openxmlformats.org/officeDocument/2006/customXml" ds:itemID="{46F176F1-9990-4E86-8E9C-F3ADFF82938F}">
  <ds:schemaRefs/>
</ds:datastoreItem>
</file>

<file path=customXml/itemProps19.xml><?xml version="1.0" encoding="utf-8"?>
<ds:datastoreItem xmlns:ds="http://schemas.openxmlformats.org/officeDocument/2006/customXml" ds:itemID="{C0376831-BCFA-4F1C-B8E4-0A5EB36B953F}">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Dashboard</vt:lpstr>
      <vt:lpstr>Pivot Report</vt:lpstr>
      <vt:lpstr>Daily ER No. of Patient</vt:lpstr>
      <vt:lpstr>Average Wait time daily trend</vt:lpstr>
      <vt:lpstr>Satisfaction score Daily trends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vipin kumar pandey</dc:creator>
  <cp:lastModifiedBy>vipin kumar pandey</cp:lastModifiedBy>
  <dcterms:created xsi:type="dcterms:W3CDTF">2025-06-19T16:34:42Z</dcterms:created>
  <dcterms:modified xsi:type="dcterms:W3CDTF">2026-04-22T10:14:11Z</dcterms:modified>
</cp:coreProperties>
</file>