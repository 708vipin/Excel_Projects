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Upwork_Templates\"/>
    </mc:Choice>
  </mc:AlternateContent>
  <xr:revisionPtr revIDLastSave="0" documentId="13_ncr:1_{49356B5E-72D7-46C5-9D43-87259725B297}" xr6:coauthVersionLast="47" xr6:coauthVersionMax="47" xr10:uidLastSave="{00000000-0000-0000-0000-000000000000}"/>
  <bookViews>
    <workbookView xWindow="-108" yWindow="-108" windowWidth="23256" windowHeight="12456" activeTab="1" xr2:uid="{DD2CA759-2D62-44FC-A426-DE024F2B9B46}"/>
  </bookViews>
  <sheets>
    <sheet name="Employee_Master" sheetId="1" r:id="rId1"/>
    <sheet name="Leave_log" sheetId="2" r:id="rId2"/>
    <sheet name="Monthy_Tracker" sheetId="3" r:id="rId3"/>
    <sheet name="Balance_Calculation" sheetId="4" r:id="rId4"/>
    <sheet name="Dashboard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2" i="2"/>
  <c r="C2" i="3"/>
  <c r="E2" i="1"/>
  <c r="F2" i="2"/>
</calcChain>
</file>

<file path=xl/sharedStrings.xml><?xml version="1.0" encoding="utf-8"?>
<sst xmlns="http://schemas.openxmlformats.org/spreadsheetml/2006/main" count="78" uniqueCount="71">
  <si>
    <t>ID</t>
  </si>
  <si>
    <t>Name</t>
  </si>
  <si>
    <t>DOJ</t>
  </si>
  <si>
    <t>Annual Leave</t>
  </si>
  <si>
    <t>Leave Type</t>
  </si>
  <si>
    <t>Start Date</t>
  </si>
  <si>
    <t>End Date</t>
  </si>
  <si>
    <t>Days</t>
  </si>
  <si>
    <t>Emp ID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</si>
  <si>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</si>
  <si>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</si>
  <si>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</si>
  <si>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</si>
  <si>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</si>
  <si>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</si>
  <si>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</si>
  <si>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</si>
  <si>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</si>
  <si>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</si>
  <si>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</si>
  <si>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</si>
  <si>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Total Leaves</t>
  </si>
  <si>
    <t>Accrued Leaves</t>
  </si>
  <si>
    <t>Used Leaves</t>
  </si>
  <si>
    <t>Balance</t>
  </si>
  <si>
    <t>Monthy Accrual</t>
  </si>
  <si>
    <t>Carry Forward</t>
  </si>
  <si>
    <t>E1000</t>
  </si>
  <si>
    <t>E1001</t>
  </si>
  <si>
    <t>E1002</t>
  </si>
  <si>
    <t>E1003</t>
  </si>
  <si>
    <t>E1004</t>
  </si>
  <si>
    <t>E1005</t>
  </si>
  <si>
    <t>E1006</t>
  </si>
  <si>
    <t>E1007</t>
  </si>
  <si>
    <t>E1008</t>
  </si>
  <si>
    <t>E1009</t>
  </si>
  <si>
    <t>E1010</t>
  </si>
  <si>
    <t>E1011</t>
  </si>
  <si>
    <t>E1012</t>
  </si>
  <si>
    <t>E1013</t>
  </si>
  <si>
    <t>E1014</t>
  </si>
  <si>
    <t>E1015</t>
  </si>
  <si>
    <t>E1016</t>
  </si>
  <si>
    <t>E1017</t>
  </si>
  <si>
    <t>E1018</t>
  </si>
  <si>
    <t>Vipin Pandey</t>
  </si>
  <si>
    <t>Amandeep Singh</t>
  </si>
  <si>
    <t>Honyei Konyak</t>
  </si>
  <si>
    <t>Pavinai Paite</t>
  </si>
  <si>
    <t>Sanjay Pandey</t>
  </si>
  <si>
    <t>Sinam Robert</t>
  </si>
  <si>
    <t>Aagosh Khinda</t>
  </si>
  <si>
    <t>Dimple Saxena</t>
  </si>
  <si>
    <t>Kanishka Chaudhary</t>
  </si>
  <si>
    <t>Chiraag Madan</t>
  </si>
  <si>
    <t>Aryan Mishra</t>
  </si>
  <si>
    <t>Manvi Singh</t>
  </si>
  <si>
    <t>Paneet Kaur</t>
  </si>
  <si>
    <t>Bhawri Gupta</t>
  </si>
  <si>
    <t>Rajdeep Gogoi</t>
  </si>
  <si>
    <t>Khavine Joycy</t>
  </si>
  <si>
    <t>Mathew</t>
  </si>
  <si>
    <t>Utkarsh Dubey</t>
  </si>
  <si>
    <t>Ankit Shukla</t>
  </si>
  <si>
    <t>E1019</t>
  </si>
  <si>
    <t>E1020</t>
  </si>
  <si>
    <t>Shova Chetri</t>
  </si>
  <si>
    <t>Sonali Roy</t>
  </si>
  <si>
    <t>E1021</t>
  </si>
  <si>
    <t>Sana Qadir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</si>
</sst>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A00A1-57EF-4CCE-A582-FA2BCA12F16E}">
  <dimension ref="A1:F23"/>
  <sheetViews>
    <sheetView workbookViewId="0">
      <selection activeCell="B17" sqref="B17"/>
    </sheetView>
  </sheetViews>
  <sheetFormatPr defaultRowHeight="14.4" x14ac:dyDescent="0.3"/>
  <cols>
    <col min="1" max="1" width="8.88671875" style="1"/>
    <col min="2" max="2" width="17.77734375" style="1" customWidth="1"/>
    <col min="3" max="3" width="8.88671875" style="1"/>
    <col min="4" max="4" width="13.109375" style="1" customWidth="1"/>
    <col min="5" max="5" width="15.6640625" style="1" customWidth="1"/>
    <col min="6" max="6" width="13" style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25</v>
      </c>
      <c r="F1" s="1" t="s">
        <v>26</v>
      </c>
    </row>
    <row r="2" spans="1:6" x14ac:dyDescent="0.3">
      <c r="A2" s="1" t="s">
        <v>27</v>
      </c>
      <c r="B2" s="1" t="s">
        <v>46</v>
      </c>
      <c r="D2" s="1">
        <v>25</v>
      </c>
      <c r="E2" s="2">
        <f>D2/12</f>
        <v>2.0833333333333335</v>
      </c>
    </row>
    <row r="3" spans="1:6" x14ac:dyDescent="0.3">
      <c r="A3" s="1" t="s">
        <v>28</v>
      </c>
      <c r="B3" s="1" t="s">
        <v>47</v>
      </c>
    </row>
    <row r="4" spans="1:6" x14ac:dyDescent="0.3">
      <c r="A4" s="1" t="s">
        <v>29</v>
      </c>
      <c r="B4" s="1" t="s">
        <v>48</v>
      </c>
    </row>
    <row r="5" spans="1:6" x14ac:dyDescent="0.3">
      <c r="A5" s="1" t="s">
        <v>30</v>
      </c>
      <c r="B5" s="1" t="s">
        <v>49</v>
      </c>
    </row>
    <row r="6" spans="1:6" x14ac:dyDescent="0.3">
      <c r="A6" s="1" t="s">
        <v>31</v>
      </c>
      <c r="B6" s="1" t="s">
        <v>50</v>
      </c>
    </row>
    <row r="7" spans="1:6" x14ac:dyDescent="0.3">
      <c r="A7" s="1" t="s">
        <v>32</v>
      </c>
      <c r="B7" s="1" t="s">
        <v>51</v>
      </c>
    </row>
    <row r="8" spans="1:6" x14ac:dyDescent="0.3">
      <c r="A8" s="1" t="s">
        <v>33</v>
      </c>
      <c r="B8" s="1" t="s">
        <v>52</v>
      </c>
    </row>
    <row r="9" spans="1:6" x14ac:dyDescent="0.3">
      <c r="A9" s="1" t="s">
        <v>34</v>
      </c>
      <c r="B9" s="1" t="s">
        <v>53</v>
      </c>
    </row>
    <row r="10" spans="1:6" x14ac:dyDescent="0.3">
      <c r="A10" s="1" t="s">
        <v>35</v>
      </c>
      <c r="B10" s="1" t="s">
        <v>54</v>
      </c>
    </row>
    <row r="11" spans="1:6" x14ac:dyDescent="0.3">
      <c r="A11" s="1" t="s">
        <v>36</v>
      </c>
      <c r="B11" s="1" t="s">
        <v>55</v>
      </c>
    </row>
    <row r="12" spans="1:6" x14ac:dyDescent="0.3">
      <c r="A12" s="1" t="s">
        <v>37</v>
      </c>
      <c r="B12" s="1" t="s">
        <v>56</v>
      </c>
    </row>
    <row r="13" spans="1:6" x14ac:dyDescent="0.3">
      <c r="A13" s="1" t="s">
        <v>38</v>
      </c>
      <c r="B13" s="1" t="s">
        <v>57</v>
      </c>
    </row>
    <row r="14" spans="1:6" x14ac:dyDescent="0.3">
      <c r="A14" s="1" t="s">
        <v>39</v>
      </c>
      <c r="B14" s="1" t="s">
        <v>58</v>
      </c>
    </row>
    <row r="15" spans="1:6" x14ac:dyDescent="0.3">
      <c r="A15" s="1" t="s">
        <v>40</v>
      </c>
      <c r="B15" s="1" t="s">
        <v>59</v>
      </c>
    </row>
    <row r="16" spans="1:6" x14ac:dyDescent="0.3">
      <c r="A16" s="1" t="s">
        <v>41</v>
      </c>
      <c r="B16" s="1" t="s">
        <v>60</v>
      </c>
    </row>
    <row r="17" spans="1:2" x14ac:dyDescent="0.3">
      <c r="A17" s="1" t="s">
        <v>42</v>
      </c>
      <c r="B17" s="1" t="s">
        <v>61</v>
      </c>
    </row>
    <row r="18" spans="1:2" x14ac:dyDescent="0.3">
      <c r="A18" s="1" t="s">
        <v>43</v>
      </c>
      <c r="B18" s="1" t="s">
        <v>62</v>
      </c>
    </row>
    <row r="19" spans="1:2" x14ac:dyDescent="0.3">
      <c r="A19" s="1" t="s">
        <v>44</v>
      </c>
      <c r="B19" s="1" t="s">
        <v>63</v>
      </c>
    </row>
    <row r="20" spans="1:2" x14ac:dyDescent="0.3">
      <c r="A20" s="1" t="s">
        <v>45</v>
      </c>
      <c r="B20" s="1" t="s">
        <v>64</v>
      </c>
    </row>
    <row r="21" spans="1:2" x14ac:dyDescent="0.3">
      <c r="A21" s="1" t="s">
        <v>65</v>
      </c>
      <c r="B21" s="1" t="s">
        <v>67</v>
      </c>
    </row>
    <row r="22" spans="1:2" x14ac:dyDescent="0.3">
      <c r="A22" s="1" t="s">
        <v>66</v>
      </c>
      <c r="B22" s="1" t="s">
        <v>68</v>
      </c>
    </row>
    <row r="23" spans="1:2" x14ac:dyDescent="0.3">
      <c r="A23" s="1" t="s">
        <v>69</v>
      </c>
      <c r="B23" s="1" t="s">
        <v>70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6CE7-7E5C-45E5-8D8D-6BA57DFF5892}">
  <dimension ref="A1:F4"/>
  <sheetViews>
    <sheetView tabSelected="1" workbookViewId="0">
      <selection activeCell="D6" sqref="D6"/>
    </sheetView>
  </sheetViews>
  <sheetFormatPr defaultRowHeight="14.4" x14ac:dyDescent="0.3"/>
  <cols>
    <col min="1" max="1" width="7.109375" style="1" customWidth="1"/>
    <col min="2" max="2" width="18" style="1" customWidth="1"/>
    <col min="3" max="3" width="11.6640625" style="1" customWidth="1"/>
    <col min="4" max="4" width="10.88671875" style="1" customWidth="1"/>
    <col min="5" max="5" width="10.109375" style="1" customWidth="1"/>
    <col min="6" max="6" width="14.44140625" style="1" customWidth="1"/>
  </cols>
  <sheetData>
    <row r="1" spans="1:6" x14ac:dyDescent="0.3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</row>
    <row r="2" spans="1:6" x14ac:dyDescent="0.3">
      <c r="A2" s="1" t="s">
        <v>29</v>
      </c>
      <c r="B2" s="1" t="str">
        <f>_xlfn.XLOOKUP(A2, Employee_Master!A:A, Employee_Master!B:B, "")</f>
        <v>Honyei Konyak</v>
      </c>
      <c r="F2" s="1">
        <f>NETWORKDAYS(D2,E2)</f>
        <v>0</v>
      </c>
    </row>
    <row r="3" spans="1:6" x14ac:dyDescent="0.3">
      <c r="A3" s="1" t="s">
        <v>35</v>
      </c>
      <c r="B3" s="1" t="str">
        <f>_xlfn.XLOOKUP(A3, Employee_Master!A:A, Employee_Master!B:B, "")</f>
        <v>Kanishka Chaudhary</v>
      </c>
    </row>
    <row r="4" spans="1:6" x14ac:dyDescent="0.3">
      <c r="A4" s="1" t="s">
        <v>37</v>
      </c>
      <c r="B4" s="1" t="str">
        <f>_xlfn.XLOOKUP(A4, Employee_Master!A:A, Employee_Master!B:B, "")</f>
        <v>Aryan Mishra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736085-E700-4EBF-A1C0-00F1DD64CE24}">
          <x14:formula1>
            <xm:f>Employee_Master!$A$2:$A$22</xm:f>
          </x14:formula1>
          <xm:sqref>A1:A1048576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8FAC-2CD5-4ED2-BC91-EBBA3679A6B6}">
  <dimension ref="A1:N2"/>
  <sheetViews>
    <sheetView workbookViewId="0">
      <selection activeCell="C2" sqref="C2"/>
    </sheetView>
  </sheetViews>
  <sheetFormatPr defaultRowHeight="14.4" x14ac:dyDescent="0.3"/>
  <cols>
    <col min="1" max="10" width="8.88671875" style="1"/>
    <col min="11" max="11" width="10.44140625" style="1" customWidth="1"/>
    <col min="12" max="12" width="9.88671875" style="1" customWidth="1"/>
    <col min="13" max="13" width="9.33203125" style="1" customWidth="1"/>
    <col min="14" max="14" width="9.5546875" style="1" customWidth="1"/>
  </cols>
  <sheetData>
    <row r="1" spans="1:14" x14ac:dyDescent="0.3">
      <c r="A1" s="1" t="s">
        <v>8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</row>
    <row r="2" spans="1:14" x14ac:dyDescent="0.3">
      <c r="C2" s="1">
        <f>SUMIFS(Leave_log!F:F, Leave_log!A:A, $A2, Leave_log!D:D, "&gt;=01-Jan-2026", Leave_log!D:D, "&lt;=31-Jan-2026")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ECBAF-3C9D-402A-BF63-3D04B0E25C1A}">
  <dimension ref="A1:E1"/>
  <sheetViews>
    <sheetView workbookViewId="0">
      <selection activeCell="I10" sqref="I10"/>
    </sheetView>
  </sheetViews>
  <sheetFormatPr defaultRowHeight="14.4" x14ac:dyDescent="0.3"/>
  <cols>
    <col min="1" max="1" width="5.6640625" style="1" customWidth="1"/>
    <col min="2" max="2" width="16.77734375" style="1" customWidth="1"/>
    <col min="3" max="3" width="15.77734375" style="1" customWidth="1"/>
    <col min="4" max="4" width="14.6640625" style="1" customWidth="1"/>
    <col min="5" max="5" width="10.44140625" style="1" customWidth="1"/>
  </cols>
  <sheetData>
    <row r="1" spans="1:5" x14ac:dyDescent="0.3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869A-8813-4C4E-B263-998D4B6A03E7}">
  <dimension ref="A1"/>
  <sheetViews>
    <sheetView workbookViewId="0">
      <selection activeCell="J22" sqref="J22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Employee_Master</vt:lpstr>
      <vt:lpstr>Leave_log</vt:lpstr>
      <vt:lpstr>Monthy_Tracker</vt:lpstr>
      <vt:lpstr>Balance_Calculation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2026-04-18T02:53:45Z</dcterms:created>
  <dcterms:modified xsi:type="dcterms:W3CDTF">2026-04-19T11:27:46Z</dcterms:modified>
</cp:coreProperties>
</file>