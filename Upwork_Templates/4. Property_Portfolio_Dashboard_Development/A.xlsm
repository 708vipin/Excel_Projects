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2"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pvipi\Desktop\VIP_GitHub\Excel_Projects\Upwork_Templates\4. Property_Portfolio_Dashboard_Development\"/>
    </mc:Choice>
  </mc:AlternateContent>
  <xr:revisionPtr revIDLastSave="0" documentId="13_ncr:1_{FB07AB2F-B7EE-4BBB-B470-551E53FFED13}" xr6:coauthVersionLast="47" xr6:coauthVersionMax="47" xr10:uidLastSave="{00000000-0000-0000-0000-000000000000}"/>
  <bookViews>
    <workbookView xWindow="-108" yWindow="-108" windowWidth="23256" windowHeight="12456" activeTab="1" xr2:uid="{00000000-000D-0000-FFFF-FFFF00000000}"/>
  </bookViews>
  <sheets>
    <sheet name="Calculators" sheetId="7" r:id="rId1"/>
    <sheet name="2024" sheetId="6" r:id="rId2"/>
    <sheet name="description" sheetId="8"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1" roundtripDataChecksum="NAUXg+WNqjvjzD21Thqf3W8w4KTlfDPqyC+dmYlYIAs="/>
    </ext>
  </extLst>
</workbook>
</file>

<file path=xl/calcChain.xml><?xml version="1.0" encoding="utf-8"?>
<calcChain xmlns="http://schemas.openxmlformats.org/spreadsheetml/2006/main">
  <c r="B40" i="7" l="1"/>
  <c r="B33" i="7"/>
  <c r="B29" i="7"/>
  <c r="B22" i="7"/>
  <c r="B14" i="7"/>
  <c r="B16" i="7" s="1"/>
  <c r="B6" i="7"/>
  <c r="B9" i="7" s="1"/>
  <c r="AC66" i="6"/>
  <c r="AC54" i="6"/>
  <c r="AC36" i="6"/>
  <c r="X22" i="6"/>
  <c r="AA22" i="6" s="1"/>
  <c r="J59" i="6"/>
  <c r="L59" i="6" s="1"/>
  <c r="I63" i="6"/>
  <c r="J63" i="6" s="1"/>
  <c r="L63" i="6" s="1"/>
  <c r="I62" i="6"/>
  <c r="J62" i="6" s="1"/>
  <c r="L62" i="6" s="1"/>
  <c r="I61" i="6"/>
  <c r="I60" i="6"/>
  <c r="J60" i="6" s="1"/>
  <c r="L60" i="6" s="1"/>
  <c r="I57" i="6"/>
  <c r="J57" i="6" s="1"/>
  <c r="L57" i="6" s="1"/>
  <c r="I56" i="6"/>
  <c r="J56" i="6" s="1"/>
  <c r="I55" i="6"/>
  <c r="J55" i="6" s="1"/>
  <c r="L55" i="6" s="1"/>
  <c r="AB66" i="6"/>
  <c r="AB54" i="6"/>
  <c r="AB36" i="6"/>
  <c r="G29" i="6"/>
  <c r="V66" i="6"/>
  <c r="U66" i="6"/>
  <c r="E66" i="6"/>
  <c r="C66" i="6"/>
  <c r="X65" i="6"/>
  <c r="N65" i="6"/>
  <c r="T65" i="6" s="1"/>
  <c r="G65" i="6"/>
  <c r="I65" i="6" s="1"/>
  <c r="X64" i="6"/>
  <c r="AA64" i="6" s="1"/>
  <c r="N64" i="6"/>
  <c r="G64" i="6"/>
  <c r="I64" i="6" s="1"/>
  <c r="X63" i="6"/>
  <c r="Y63" i="6" s="1"/>
  <c r="N63" i="6"/>
  <c r="O63" i="6" s="1"/>
  <c r="X62" i="6"/>
  <c r="AA62" i="6" s="1"/>
  <c r="N62" i="6"/>
  <c r="O62" i="6" s="1"/>
  <c r="X61" i="6"/>
  <c r="AA61" i="6" s="1"/>
  <c r="N61" i="6"/>
  <c r="AD61" i="6" s="1"/>
  <c r="X60" i="6"/>
  <c r="AA60" i="6" s="1"/>
  <c r="N60" i="6"/>
  <c r="AD60" i="6" s="1"/>
  <c r="X59" i="6"/>
  <c r="Y59" i="6" s="1"/>
  <c r="N59" i="6"/>
  <c r="O59" i="6" s="1"/>
  <c r="X58" i="6"/>
  <c r="AA58" i="6" s="1"/>
  <c r="N58" i="6"/>
  <c r="T58" i="6" s="1"/>
  <c r="G58" i="6"/>
  <c r="I58" i="6" s="1"/>
  <c r="J58" i="6" s="1"/>
  <c r="X57" i="6"/>
  <c r="Y57" i="6" s="1"/>
  <c r="N57" i="6"/>
  <c r="AD57" i="6" s="1"/>
  <c r="X56" i="6"/>
  <c r="Y56" i="6" s="1"/>
  <c r="N56" i="6"/>
  <c r="O56" i="6" s="1"/>
  <c r="X55" i="6"/>
  <c r="AA55" i="6" s="1"/>
  <c r="N55" i="6"/>
  <c r="O55" i="6" s="1"/>
  <c r="V54" i="6"/>
  <c r="U54" i="6"/>
  <c r="E54" i="6"/>
  <c r="C54" i="6"/>
  <c r="X53" i="6"/>
  <c r="AA53" i="6" s="1"/>
  <c r="N53" i="6"/>
  <c r="T53" i="6" s="1"/>
  <c r="G53" i="6"/>
  <c r="I53" i="6" s="1"/>
  <c r="J53" i="6" s="1"/>
  <c r="X52" i="6"/>
  <c r="N52" i="6"/>
  <c r="T52" i="6" s="1"/>
  <c r="G52" i="6"/>
  <c r="I52" i="6" s="1"/>
  <c r="X51" i="6"/>
  <c r="AA51" i="6" s="1"/>
  <c r="N51" i="6"/>
  <c r="T51" i="6" s="1"/>
  <c r="G51" i="6"/>
  <c r="I51" i="6" s="1"/>
  <c r="J51" i="6" s="1"/>
  <c r="X50" i="6"/>
  <c r="AA50" i="6" s="1"/>
  <c r="N50" i="6"/>
  <c r="T50" i="6" s="1"/>
  <c r="G50" i="6"/>
  <c r="I50" i="6" s="1"/>
  <c r="J50" i="6" s="1"/>
  <c r="X49" i="6"/>
  <c r="N49" i="6"/>
  <c r="T49" i="6" s="1"/>
  <c r="G49" i="6"/>
  <c r="I49" i="6" s="1"/>
  <c r="J49" i="6" s="1"/>
  <c r="X48" i="6"/>
  <c r="N48" i="6"/>
  <c r="G48" i="6"/>
  <c r="I48" i="6" s="1"/>
  <c r="J48" i="6" s="1"/>
  <c r="X47" i="6"/>
  <c r="AA47" i="6" s="1"/>
  <c r="N47" i="6"/>
  <c r="G47" i="6"/>
  <c r="I47" i="6" s="1"/>
  <c r="X46" i="6"/>
  <c r="N46" i="6"/>
  <c r="T46" i="6" s="1"/>
  <c r="G46" i="6"/>
  <c r="X45" i="6"/>
  <c r="N45" i="6"/>
  <c r="T45" i="6" s="1"/>
  <c r="G45" i="6"/>
  <c r="I45" i="6" s="1"/>
  <c r="X44" i="6"/>
  <c r="N44" i="6"/>
  <c r="T44" i="6" s="1"/>
  <c r="G44" i="6"/>
  <c r="I44" i="6" s="1"/>
  <c r="X43" i="6"/>
  <c r="AA43" i="6" s="1"/>
  <c r="N43" i="6"/>
  <c r="G43" i="6"/>
  <c r="I43" i="6" s="1"/>
  <c r="J43" i="6" s="1"/>
  <c r="X42" i="6"/>
  <c r="N42" i="6"/>
  <c r="T42" i="6" s="1"/>
  <c r="G42" i="6"/>
  <c r="I42" i="6" s="1"/>
  <c r="J42" i="6" s="1"/>
  <c r="X41" i="6"/>
  <c r="N41" i="6"/>
  <c r="T41" i="6" s="1"/>
  <c r="G41" i="6"/>
  <c r="I41" i="6" s="1"/>
  <c r="X40" i="6"/>
  <c r="N40" i="6"/>
  <c r="T40" i="6" s="1"/>
  <c r="G40" i="6"/>
  <c r="I40" i="6" s="1"/>
  <c r="X39" i="6"/>
  <c r="AA39" i="6" s="1"/>
  <c r="N39" i="6"/>
  <c r="T39" i="6" s="1"/>
  <c r="G39" i="6"/>
  <c r="I39" i="6" s="1"/>
  <c r="X38" i="6"/>
  <c r="N38" i="6"/>
  <c r="T38" i="6" s="1"/>
  <c r="G38" i="6"/>
  <c r="I38" i="6" s="1"/>
  <c r="X37" i="6"/>
  <c r="AA37" i="6" s="1"/>
  <c r="N37" i="6"/>
  <c r="T37" i="6" s="1"/>
  <c r="G37" i="6"/>
  <c r="I37" i="6" s="1"/>
  <c r="J37" i="6" s="1"/>
  <c r="V36" i="6"/>
  <c r="U36" i="6"/>
  <c r="E36" i="6"/>
  <c r="C36" i="6"/>
  <c r="X35" i="6"/>
  <c r="N35" i="6"/>
  <c r="T35" i="6" s="1"/>
  <c r="G35" i="6"/>
  <c r="I35" i="6" s="1"/>
  <c r="J35" i="6" s="1"/>
  <c r="X34" i="6"/>
  <c r="AA34" i="6" s="1"/>
  <c r="N34" i="6"/>
  <c r="G34" i="6"/>
  <c r="I34" i="6" s="1"/>
  <c r="J34" i="6" s="1"/>
  <c r="X33" i="6"/>
  <c r="N33" i="6"/>
  <c r="T33" i="6" s="1"/>
  <c r="G33" i="6"/>
  <c r="I33" i="6" s="1"/>
  <c r="X32" i="6"/>
  <c r="AA32" i="6" s="1"/>
  <c r="N32" i="6"/>
  <c r="T32" i="6" s="1"/>
  <c r="G32" i="6"/>
  <c r="I32" i="6" s="1"/>
  <c r="J32" i="6" s="1"/>
  <c r="X31" i="6"/>
  <c r="N31" i="6"/>
  <c r="T31" i="6" s="1"/>
  <c r="G31" i="6"/>
  <c r="I31" i="6" s="1"/>
  <c r="X30" i="6"/>
  <c r="N30" i="6"/>
  <c r="G30" i="6"/>
  <c r="I30" i="6" s="1"/>
  <c r="X29" i="6"/>
  <c r="AA29" i="6" s="1"/>
  <c r="N29" i="6"/>
  <c r="T29" i="6" s="1"/>
  <c r="X28" i="6"/>
  <c r="AA28" i="6" s="1"/>
  <c r="N28" i="6"/>
  <c r="T28" i="6" s="1"/>
  <c r="G28" i="6"/>
  <c r="X27" i="6"/>
  <c r="N27" i="6"/>
  <c r="T27" i="6" s="1"/>
  <c r="G27" i="6"/>
  <c r="I27" i="6" s="1"/>
  <c r="X26" i="6"/>
  <c r="AA26" i="6" s="1"/>
  <c r="N26" i="6"/>
  <c r="G26" i="6"/>
  <c r="I26" i="6" s="1"/>
  <c r="J26" i="6" s="1"/>
  <c r="X25" i="6"/>
  <c r="N25" i="6"/>
  <c r="T25" i="6" s="1"/>
  <c r="G25" i="6"/>
  <c r="I25" i="6" s="1"/>
  <c r="X24" i="6"/>
  <c r="AA24" i="6" s="1"/>
  <c r="N24" i="6"/>
  <c r="T24" i="6" s="1"/>
  <c r="G24" i="6"/>
  <c r="I24" i="6" s="1"/>
  <c r="J24" i="6" s="1"/>
  <c r="X23" i="6"/>
  <c r="N23" i="6"/>
  <c r="T23" i="6" s="1"/>
  <c r="G23" i="6"/>
  <c r="N22" i="6"/>
  <c r="G22" i="6"/>
  <c r="B19" i="7" l="1"/>
  <c r="B23" i="7" s="1"/>
  <c r="B17" i="7"/>
  <c r="AC67" i="6"/>
  <c r="AF29" i="6"/>
  <c r="Q29" i="6" s="1"/>
  <c r="P59" i="6"/>
  <c r="P62" i="6"/>
  <c r="J65" i="6"/>
  <c r="J44" i="6"/>
  <c r="L44" i="6" s="1"/>
  <c r="P44" i="6" s="1"/>
  <c r="J47" i="6"/>
  <c r="L47" i="6" s="1"/>
  <c r="P47" i="6" s="1"/>
  <c r="I28" i="6"/>
  <c r="J28" i="6" s="1"/>
  <c r="L28" i="6" s="1"/>
  <c r="P28" i="6" s="1"/>
  <c r="J45" i="6"/>
  <c r="L45" i="6" s="1"/>
  <c r="P45" i="6" s="1"/>
  <c r="AF28" i="6"/>
  <c r="AF37" i="6"/>
  <c r="I29" i="6"/>
  <c r="J29" i="6" s="1"/>
  <c r="L29" i="6" s="1"/>
  <c r="P29" i="6" s="1"/>
  <c r="J64" i="6"/>
  <c r="L64" i="6" s="1"/>
  <c r="P64" i="6" s="1"/>
  <c r="AF24" i="6"/>
  <c r="AF51" i="6"/>
  <c r="AF53" i="6"/>
  <c r="I46" i="6"/>
  <c r="J46" i="6" s="1"/>
  <c r="L46" i="6" s="1"/>
  <c r="P46" i="6" s="1"/>
  <c r="J40" i="6"/>
  <c r="L40" i="6" s="1"/>
  <c r="P40" i="6" s="1"/>
  <c r="AF39" i="6"/>
  <c r="I22" i="6"/>
  <c r="J22" i="6" s="1"/>
  <c r="L22" i="6" s="1"/>
  <c r="AF58" i="6"/>
  <c r="J33" i="6"/>
  <c r="L33" i="6" s="1"/>
  <c r="P33" i="6" s="1"/>
  <c r="P55" i="6"/>
  <c r="I23" i="6"/>
  <c r="J23" i="6" s="1"/>
  <c r="L23" i="6" s="1"/>
  <c r="P23" i="6" s="1"/>
  <c r="AF32" i="6"/>
  <c r="P60" i="6"/>
  <c r="J61" i="6"/>
  <c r="L61" i="6" s="1"/>
  <c r="P61" i="6" s="1"/>
  <c r="AF50" i="6"/>
  <c r="P63" i="6"/>
  <c r="P57" i="6"/>
  <c r="I66" i="6"/>
  <c r="L53" i="6"/>
  <c r="P53" i="6" s="1"/>
  <c r="J52" i="6"/>
  <c r="L52" i="6" s="1"/>
  <c r="P52" i="6" s="1"/>
  <c r="L43" i="6"/>
  <c r="P43" i="6" s="1"/>
  <c r="J41" i="6"/>
  <c r="L41" i="6" s="1"/>
  <c r="P41" i="6" s="1"/>
  <c r="J39" i="6"/>
  <c r="L39" i="6" s="1"/>
  <c r="P39" i="6" s="1"/>
  <c r="J38" i="6"/>
  <c r="L38" i="6" s="1"/>
  <c r="P38" i="6" s="1"/>
  <c r="L34" i="6"/>
  <c r="P34" i="6" s="1"/>
  <c r="J31" i="6"/>
  <c r="L31" i="6" s="1"/>
  <c r="P31" i="6" s="1"/>
  <c r="J30" i="6"/>
  <c r="L30" i="6" s="1"/>
  <c r="P30" i="6" s="1"/>
  <c r="J27" i="6"/>
  <c r="L27" i="6" s="1"/>
  <c r="P27" i="6" s="1"/>
  <c r="L26" i="6"/>
  <c r="P26" i="6" s="1"/>
  <c r="J25" i="6"/>
  <c r="L25" i="6" s="1"/>
  <c r="P25" i="6" s="1"/>
  <c r="L51" i="6"/>
  <c r="P51" i="6" s="1"/>
  <c r="L58" i="6"/>
  <c r="P58" i="6" s="1"/>
  <c r="L48" i="6"/>
  <c r="P48" i="6" s="1"/>
  <c r="L49" i="6"/>
  <c r="P49" i="6" s="1"/>
  <c r="L42" i="6"/>
  <c r="P42" i="6" s="1"/>
  <c r="AB67" i="6"/>
  <c r="AD50" i="6"/>
  <c r="AE52" i="6"/>
  <c r="AE42" i="6"/>
  <c r="AE37" i="6"/>
  <c r="AE53" i="6"/>
  <c r="AE40" i="6"/>
  <c r="AD47" i="6"/>
  <c r="AE46" i="6"/>
  <c r="O39" i="6"/>
  <c r="Y44" i="6"/>
  <c r="Y62" i="6"/>
  <c r="AE32" i="6"/>
  <c r="AD37" i="6"/>
  <c r="T61" i="6"/>
  <c r="AF61" i="6" s="1"/>
  <c r="Q61" i="6" s="1"/>
  <c r="AD43" i="6"/>
  <c r="AD46" i="6"/>
  <c r="AD48" i="6"/>
  <c r="Y50" i="6"/>
  <c r="AA63" i="6"/>
  <c r="Y30" i="6"/>
  <c r="Y45" i="6"/>
  <c r="Y48" i="6"/>
  <c r="AE29" i="6"/>
  <c r="Y32" i="6"/>
  <c r="V67" i="6"/>
  <c r="Y46" i="6"/>
  <c r="AA57" i="6"/>
  <c r="AD64" i="6"/>
  <c r="T56" i="6"/>
  <c r="AD25" i="6"/>
  <c r="G54" i="6"/>
  <c r="F54" i="6" s="1"/>
  <c r="AD42" i="6"/>
  <c r="O47" i="6"/>
  <c r="AE49" i="6"/>
  <c r="AD51" i="6"/>
  <c r="AD58" i="6"/>
  <c r="AD62" i="6"/>
  <c r="Y38" i="6"/>
  <c r="AA38" i="6"/>
  <c r="AF38" i="6" s="1"/>
  <c r="Q38" i="6" s="1"/>
  <c r="O51" i="6"/>
  <c r="O58" i="6"/>
  <c r="Y24" i="6"/>
  <c r="AE33" i="6"/>
  <c r="Y37" i="6"/>
  <c r="Y53" i="6"/>
  <c r="T47" i="6"/>
  <c r="AF47" i="6" s="1"/>
  <c r="Y60" i="6"/>
  <c r="T62" i="6"/>
  <c r="AE28" i="6"/>
  <c r="E67" i="6"/>
  <c r="AD39" i="6"/>
  <c r="O50" i="6"/>
  <c r="Y22" i="6"/>
  <c r="O46" i="6"/>
  <c r="X54" i="6"/>
  <c r="AE24" i="6"/>
  <c r="AE41" i="6"/>
  <c r="AE45" i="6"/>
  <c r="AD56" i="6"/>
  <c r="AA30" i="6"/>
  <c r="AA45" i="6"/>
  <c r="AF45" i="6" s="1"/>
  <c r="AA49" i="6"/>
  <c r="AF49" i="6" s="1"/>
  <c r="Q49" i="6" s="1"/>
  <c r="T64" i="6"/>
  <c r="AF64" i="6" s="1"/>
  <c r="Q64" i="6" s="1"/>
  <c r="AA25" i="6"/>
  <c r="AF25" i="6" s="1"/>
  <c r="Q25" i="6" s="1"/>
  <c r="Y26" i="6"/>
  <c r="Y34" i="6"/>
  <c r="L37" i="6"/>
  <c r="P37" i="6" s="1"/>
  <c r="Y41" i="6"/>
  <c r="Y42" i="6"/>
  <c r="O43" i="6"/>
  <c r="AA46" i="6"/>
  <c r="AF46" i="6" s="1"/>
  <c r="AD53" i="6"/>
  <c r="T55" i="6"/>
  <c r="AF55" i="6" s="1"/>
  <c r="T59" i="6"/>
  <c r="AA33" i="6"/>
  <c r="AF33" i="6" s="1"/>
  <c r="AE25" i="6"/>
  <c r="AA41" i="6"/>
  <c r="AF41" i="6" s="1"/>
  <c r="Q41" i="6" s="1"/>
  <c r="AA42" i="6"/>
  <c r="AF42" i="6" s="1"/>
  <c r="T43" i="6"/>
  <c r="AF43" i="6" s="1"/>
  <c r="U67" i="6"/>
  <c r="AD33" i="6"/>
  <c r="C67" i="6"/>
  <c r="AD45" i="6"/>
  <c r="AD49" i="6"/>
  <c r="L50" i="6"/>
  <c r="P50" i="6" s="1"/>
  <c r="N36" i="6"/>
  <c r="AD29" i="6"/>
  <c r="AD41" i="6"/>
  <c r="AE50" i="6"/>
  <c r="AD55" i="6"/>
  <c r="Y65" i="6"/>
  <c r="G36" i="6"/>
  <c r="F36" i="6" s="1"/>
  <c r="Y28" i="6"/>
  <c r="T48" i="6"/>
  <c r="AE48" i="6" s="1"/>
  <c r="Y49" i="6"/>
  <c r="AD59" i="6"/>
  <c r="AA27" i="6"/>
  <c r="AF27" i="6" s="1"/>
  <c r="Y27" i="6"/>
  <c r="AE23" i="6"/>
  <c r="AE27" i="6"/>
  <c r="AE31" i="6"/>
  <c r="AA35" i="6"/>
  <c r="AF35" i="6" s="1"/>
  <c r="Y35" i="6"/>
  <c r="N54" i="6"/>
  <c r="M54" i="6" s="1"/>
  <c r="AD38" i="6"/>
  <c r="AA44" i="6"/>
  <c r="AF44" i="6" s="1"/>
  <c r="AA59" i="6"/>
  <c r="AE65" i="6"/>
  <c r="O24" i="6"/>
  <c r="AD24" i="6"/>
  <c r="O28" i="6"/>
  <c r="AD28" i="6"/>
  <c r="O32" i="6"/>
  <c r="AD32" i="6"/>
  <c r="O38" i="6"/>
  <c r="AD52" i="6"/>
  <c r="O52" i="6"/>
  <c r="AA56" i="6"/>
  <c r="X66" i="6"/>
  <c r="T63" i="6"/>
  <c r="AD63" i="6"/>
  <c r="AA65" i="6"/>
  <c r="AF65" i="6" s="1"/>
  <c r="L32" i="6"/>
  <c r="P32" i="6" s="1"/>
  <c r="O44" i="6"/>
  <c r="T22" i="6"/>
  <c r="AF22" i="6" s="1"/>
  <c r="AD22" i="6"/>
  <c r="O23" i="6"/>
  <c r="T26" i="6"/>
  <c r="AF26" i="6" s="1"/>
  <c r="AD26" i="6"/>
  <c r="O27" i="6"/>
  <c r="T30" i="6"/>
  <c r="AD30" i="6"/>
  <c r="O31" i="6"/>
  <c r="T34" i="6"/>
  <c r="AF34" i="6" s="1"/>
  <c r="AD34" i="6"/>
  <c r="AD35" i="6"/>
  <c r="AA40" i="6"/>
  <c r="AF40" i="6" s="1"/>
  <c r="O42" i="6"/>
  <c r="O65" i="6"/>
  <c r="AD65" i="6"/>
  <c r="AA23" i="6"/>
  <c r="AF23" i="6" s="1"/>
  <c r="Y23" i="6"/>
  <c r="L24" i="6"/>
  <c r="P24" i="6" s="1"/>
  <c r="AD40" i="6"/>
  <c r="AA48" i="6"/>
  <c r="O22" i="6"/>
  <c r="AD23" i="6"/>
  <c r="O26" i="6"/>
  <c r="AD27" i="6"/>
  <c r="O30" i="6"/>
  <c r="AD31" i="6"/>
  <c r="O34" i="6"/>
  <c r="AE38" i="6"/>
  <c r="AE39" i="6"/>
  <c r="Y40" i="6"/>
  <c r="AD44" i="6"/>
  <c r="AA52" i="6"/>
  <c r="AF52" i="6" s="1"/>
  <c r="L56" i="6"/>
  <c r="P56" i="6" s="1"/>
  <c r="T57" i="6"/>
  <c r="O57" i="6"/>
  <c r="N66" i="6"/>
  <c r="L65" i="6"/>
  <c r="P65" i="6" s="1"/>
  <c r="G66" i="6"/>
  <c r="F66" i="6" s="1"/>
  <c r="AA31" i="6"/>
  <c r="AF31" i="6" s="1"/>
  <c r="Y31" i="6"/>
  <c r="X36" i="6"/>
  <c r="O40" i="6"/>
  <c r="L35" i="6"/>
  <c r="P35" i="6" s="1"/>
  <c r="O35" i="6"/>
  <c r="T60" i="6"/>
  <c r="AF60" i="6" s="1"/>
  <c r="O60" i="6"/>
  <c r="AE35" i="6"/>
  <c r="AE44" i="6"/>
  <c r="O48" i="6"/>
  <c r="AE51" i="6"/>
  <c r="Y52" i="6"/>
  <c r="AE58" i="6"/>
  <c r="Y25" i="6"/>
  <c r="Y29" i="6"/>
  <c r="Y33" i="6"/>
  <c r="O61" i="6"/>
  <c r="O64" i="6"/>
  <c r="O25" i="6"/>
  <c r="O29" i="6"/>
  <c r="O33" i="6"/>
  <c r="Y61" i="6"/>
  <c r="Y64" i="6"/>
  <c r="O37" i="6"/>
  <c r="Y39" i="6"/>
  <c r="O41" i="6"/>
  <c r="Y43" i="6"/>
  <c r="O45" i="6"/>
  <c r="Y47" i="6"/>
  <c r="O49" i="6"/>
  <c r="Y51" i="6"/>
  <c r="O53" i="6"/>
  <c r="Y55" i="6"/>
  <c r="Y58" i="6"/>
  <c r="Q51" i="6" l="1"/>
  <c r="Q34" i="6"/>
  <c r="Q46" i="6"/>
  <c r="Q31" i="6"/>
  <c r="Q52" i="6"/>
  <c r="Q23" i="6"/>
  <c r="Q45" i="6"/>
  <c r="Q33" i="6"/>
  <c r="I54" i="6"/>
  <c r="H54" i="6" s="1"/>
  <c r="Q43" i="6"/>
  <c r="Q35" i="6"/>
  <c r="Q28" i="6"/>
  <c r="Q42" i="6"/>
  <c r="Q47" i="6"/>
  <c r="Q32" i="6"/>
  <c r="Q53" i="6"/>
  <c r="Q60" i="6"/>
  <c r="Q65" i="6"/>
  <c r="Q44" i="6"/>
  <c r="Q58" i="6"/>
  <c r="Q40" i="6"/>
  <c r="Q27" i="6"/>
  <c r="Q55" i="6"/>
  <c r="Q50" i="6"/>
  <c r="Q24" i="6"/>
  <c r="Q26" i="6"/>
  <c r="Q39" i="6"/>
  <c r="Q37" i="6"/>
  <c r="AF1" i="7"/>
  <c r="AF30" i="6"/>
  <c r="Q30" i="6" s="1"/>
  <c r="I36" i="6"/>
  <c r="H36" i="6" s="1"/>
  <c r="AF57" i="6"/>
  <c r="Q57" i="6" s="1"/>
  <c r="AF63" i="6"/>
  <c r="Q63" i="6" s="1"/>
  <c r="H66" i="6"/>
  <c r="AF56" i="6"/>
  <c r="Q56" i="6" s="1"/>
  <c r="AF59" i="6"/>
  <c r="Q59" i="6" s="1"/>
  <c r="AE62" i="6"/>
  <c r="AF62" i="6"/>
  <c r="Q62" i="6" s="1"/>
  <c r="AF48" i="6"/>
  <c r="P22" i="6"/>
  <c r="P36" i="6" s="1"/>
  <c r="AE64" i="6"/>
  <c r="AE56" i="6"/>
  <c r="W66" i="6"/>
  <c r="AE47" i="6"/>
  <c r="Y54" i="6"/>
  <c r="AE61" i="6"/>
  <c r="AD36" i="6"/>
  <c r="T54" i="6"/>
  <c r="AE54" i="6" s="1"/>
  <c r="P66" i="6"/>
  <c r="W54" i="6"/>
  <c r="AE55" i="6"/>
  <c r="J54" i="6"/>
  <c r="T66" i="6"/>
  <c r="S66" i="6" s="1"/>
  <c r="L54" i="6"/>
  <c r="O66" i="6"/>
  <c r="AE43" i="6"/>
  <c r="M36" i="6"/>
  <c r="AE59" i="6"/>
  <c r="N67" i="6"/>
  <c r="M67" i="6" s="1"/>
  <c r="X67" i="6"/>
  <c r="Y36" i="6"/>
  <c r="O36" i="6"/>
  <c r="AE34" i="6"/>
  <c r="L36" i="6"/>
  <c r="P54" i="6"/>
  <c r="AA66" i="6"/>
  <c r="Z66" i="6" s="1"/>
  <c r="Y66" i="6"/>
  <c r="J36" i="6"/>
  <c r="O54" i="6"/>
  <c r="W36" i="6"/>
  <c r="AE60" i="6"/>
  <c r="G67" i="6"/>
  <c r="AD54" i="6"/>
  <c r="AE26" i="6"/>
  <c r="J66" i="6"/>
  <c r="AE63" i="6"/>
  <c r="AD66" i="6"/>
  <c r="M66" i="6"/>
  <c r="AA36" i="6"/>
  <c r="Z36" i="6" s="1"/>
  <c r="AE57" i="6"/>
  <c r="L66" i="6"/>
  <c r="AA54" i="6"/>
  <c r="AE30" i="6"/>
  <c r="T36" i="6"/>
  <c r="AE22" i="6"/>
  <c r="AF54" i="6" l="1"/>
  <c r="Q54" i="6" s="1"/>
  <c r="Q48" i="6"/>
  <c r="I67" i="6"/>
  <c r="Q22" i="6"/>
  <c r="H67" i="6"/>
  <c r="AF36" i="6"/>
  <c r="Q36" i="6"/>
  <c r="AF66" i="6"/>
  <c r="Q66" i="6" s="1"/>
  <c r="K66" i="6"/>
  <c r="K54" i="6"/>
  <c r="K36" i="6"/>
  <c r="F67" i="6"/>
  <c r="AE66" i="6"/>
  <c r="S54" i="6"/>
  <c r="J67" i="6"/>
  <c r="O67" i="6"/>
  <c r="AA67" i="6"/>
  <c r="Z67" i="6" s="1"/>
  <c r="Y67" i="6"/>
  <c r="W67" i="6"/>
  <c r="Z54" i="6"/>
  <c r="P67" i="6"/>
  <c r="L67" i="6"/>
  <c r="AE36" i="6"/>
  <c r="S36" i="6"/>
  <c r="T67" i="6"/>
  <c r="AD67" i="6"/>
  <c r="AF67" i="6" l="1"/>
  <c r="AF68" i="6"/>
  <c r="Q67" i="6"/>
  <c r="K67" i="6"/>
  <c r="S67" i="6"/>
  <c r="AE6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55" authorId="0" shapeId="0" xr:uid="{00000000-0006-0000-0500-000006000000}">
      <text>
        <r>
          <rPr>
            <sz val="9"/>
            <color rgb="FF000000"/>
            <rFont val="Tahoma"/>
            <family val="2"/>
          </rPr>
          <t xml:space="preserve">======
</t>
        </r>
        <r>
          <rPr>
            <sz val="9"/>
            <color rgb="FF000000"/>
            <rFont val="Tahoma"/>
            <family val="2"/>
          </rPr>
          <t xml:space="preserve">ID#AAABdEs4Pp4
</t>
        </r>
        <r>
          <rPr>
            <sz val="9"/>
            <color rgb="FF000000"/>
            <rFont val="Tahoma"/>
            <family val="2"/>
          </rPr>
          <t xml:space="preserve">Andrea Panayiotou    (2024-06-21 09:26:00)
</t>
        </r>
        <r>
          <rPr>
            <sz val="9"/>
            <color rgb="FF000000"/>
            <rFont val="Tahoma"/>
            <family val="2"/>
          </rPr>
          <t xml:space="preserve">Purchase Price £460,000
</t>
        </r>
        <r>
          <rPr>
            <sz val="9"/>
            <color rgb="FF000000"/>
            <rFont val="Tahoma"/>
            <family val="2"/>
          </rPr>
          <t xml:space="preserve">Stamp duty £24,300
</t>
        </r>
        <r>
          <rPr>
            <sz val="9"/>
            <color rgb="FF000000"/>
            <rFont val="Tahoma"/>
            <family val="2"/>
          </rPr>
          <t xml:space="preserve">Legal fees etc £4,115.79
</t>
        </r>
        <r>
          <rPr>
            <sz val="9"/>
            <color rgb="FF000000"/>
            <rFont val="Tahoma"/>
            <family val="2"/>
          </rPr>
          <t>Agent fees £6,000 approx.</t>
        </r>
      </text>
    </comment>
    <comment ref="B61" authorId="0" shapeId="0" xr:uid="{00000000-0006-0000-0500-00000B000000}">
      <text>
        <r>
          <rPr>
            <sz val="9"/>
            <color rgb="FF000000"/>
            <rFont val="Tahoma"/>
            <family val="2"/>
          </rPr>
          <t xml:space="preserve">======
</t>
        </r>
        <r>
          <rPr>
            <sz val="9"/>
            <color rgb="FF000000"/>
            <rFont val="Tahoma"/>
            <family val="2"/>
          </rPr>
          <t xml:space="preserve">ID#AAABdEs4Ppc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George Panayiotou to renand Assets LLP.</t>
        </r>
      </text>
    </comment>
    <comment ref="B62" authorId="0" shapeId="0" xr:uid="{00000000-0006-0000-0500-00000D000000}">
      <text>
        <r>
          <rPr>
            <sz val="9"/>
            <color rgb="FF000000"/>
            <rFont val="Tahoma"/>
            <family val="2"/>
          </rPr>
          <t xml:space="preserve">======
</t>
        </r>
        <r>
          <rPr>
            <sz val="9"/>
            <color rgb="FF000000"/>
            <rFont val="Tahoma"/>
            <family val="2"/>
          </rPr>
          <t xml:space="preserve">ID#AAABdEs4PpQ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Mary Panayiotou to renand Assets LLP.</t>
        </r>
      </text>
    </comment>
    <comment ref="B63" authorId="0" shapeId="0" xr:uid="{00000000-0006-0000-0500-000008000000}">
      <text>
        <r>
          <rPr>
            <sz val="9"/>
            <color rgb="FF000000"/>
            <rFont val="Tahoma"/>
            <family val="2"/>
          </rPr>
          <t xml:space="preserve">======
</t>
        </r>
        <r>
          <rPr>
            <sz val="9"/>
            <color rgb="FF000000"/>
            <rFont val="Tahoma"/>
            <family val="2"/>
          </rPr>
          <t xml:space="preserve">ID#AAABdEs4PpU
</t>
        </r>
        <r>
          <rPr>
            <sz val="9"/>
            <color rgb="FF000000"/>
            <rFont val="Tahoma"/>
            <family val="2"/>
          </rPr>
          <t xml:space="preserve">Andrea Panayiotou    (2024-05-28 13:52:24)
</t>
        </r>
        <r>
          <rPr>
            <sz val="9"/>
            <color rgb="FF000000"/>
            <rFont val="Tahoma"/>
            <family val="2"/>
          </rPr>
          <t xml:space="preserve">Purchase Price £1,648,000
</t>
        </r>
        <r>
          <rPr>
            <sz val="9"/>
            <color rgb="FF000000"/>
            <rFont val="Tahoma"/>
            <family val="2"/>
          </rPr>
          <t xml:space="preserve">Exchanged 22.05.2024
</t>
        </r>
        <r>
          <rPr>
            <sz val="9"/>
            <color rgb="FF000000"/>
            <rFont val="Tahoma"/>
            <family val="2"/>
          </rPr>
          <t xml:space="preserve">Completed 26.06.2024?
</t>
        </r>
        <r>
          <rPr>
            <sz val="9"/>
            <color rgb="FF000000"/>
            <rFont val="Tahoma"/>
            <family val="2"/>
          </rPr>
          <t xml:space="preserve">Stamp duty £158,450
</t>
        </r>
        <r>
          <rPr>
            <sz val="9"/>
            <color rgb="FF000000"/>
            <rFont val="Tahoma"/>
            <family val="2"/>
          </rPr>
          <t xml:space="preserve">Legal fees £9,000
</t>
        </r>
        <r>
          <rPr>
            <sz val="9"/>
            <color rgb="FF000000"/>
            <rFont val="Tahoma"/>
            <family val="2"/>
          </rPr>
          <t>Searches &amp; disbursements £2,810</t>
        </r>
      </text>
    </comment>
    <comment ref="B64" authorId="0" shapeId="0" xr:uid="{00000000-0006-0000-0500-000007000000}">
      <text>
        <r>
          <rPr>
            <sz val="9"/>
            <color rgb="FF000000"/>
            <rFont val="Tahoma"/>
            <family val="2"/>
          </rPr>
          <t xml:space="preserve">======
</t>
        </r>
        <r>
          <rPr>
            <sz val="9"/>
            <color rgb="FF000000"/>
            <rFont val="Tahoma"/>
            <family val="2"/>
          </rPr>
          <t xml:space="preserve">ID#AAABdEs4Ppo
</t>
        </r>
        <r>
          <rPr>
            <sz val="9"/>
            <color rgb="FF000000"/>
            <rFont val="Tahoma"/>
            <family val="2"/>
          </rPr>
          <t xml:space="preserve">Andrea Panayiotou    (2024-06-21 09:20:44)
</t>
        </r>
        <r>
          <rPr>
            <sz val="9"/>
            <color rgb="FF000000"/>
            <rFont val="Tahoma"/>
            <family val="2"/>
          </rPr>
          <t xml:space="preserve">Purchase Price £950,000
</t>
        </r>
        <r>
          <rPr>
            <sz val="9"/>
            <color rgb="FF000000"/>
            <rFont val="Tahoma"/>
            <family val="2"/>
          </rPr>
          <t xml:space="preserve">Stamp duty £37,000
</t>
        </r>
        <r>
          <rPr>
            <sz val="9"/>
            <color rgb="FF000000"/>
            <rFont val="Tahoma"/>
            <family val="2"/>
          </rPr>
          <t xml:space="preserve">Legal fees etc £10,297.09
</t>
        </r>
        <r>
          <rPr>
            <sz val="9"/>
            <color rgb="FF000000"/>
            <rFont val="Tahoma"/>
            <family val="2"/>
          </rPr>
          <t>Agent fee £6,000</t>
        </r>
      </text>
    </comment>
    <comment ref="B65" authorId="0" shapeId="0" xr:uid="{00000000-0006-0000-0500-000009000000}">
      <text>
        <r>
          <rPr>
            <sz val="9"/>
            <color rgb="FF000000"/>
            <rFont val="Tahoma"/>
            <family val="2"/>
          </rPr>
          <t xml:space="preserve">======
</t>
        </r>
        <r>
          <rPr>
            <sz val="9"/>
            <color rgb="FF000000"/>
            <rFont val="Tahoma"/>
            <family val="2"/>
          </rPr>
          <t xml:space="preserve">ID#AAABdEs4Pp0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George Panayiotou to renand Assets LLP.</t>
        </r>
      </text>
    </comment>
  </commentList>
  <extLst>
    <ext xmlns:r="http://schemas.openxmlformats.org/officeDocument/2006/relationships" uri="GoogleSheetsCustomDataVersion2">
      <go:sheetsCustomData xmlns:go="http://customooxmlschemas.google.com/" r:id="rId1" roundtripDataSignature="AMtx7mgWRt59QjzNZqVuGOkzXob0RTABtg=="/>
    </ext>
  </extLst>
</comments>
</file>

<file path=xl/sharedStrings.xml><?xml version="1.0" encoding="utf-8"?>
<sst xmlns="http://schemas.openxmlformats.org/spreadsheetml/2006/main" count="185" uniqueCount="135">
  <si>
    <t>Property</t>
  </si>
  <si>
    <t>5 York House - NW1 0DS</t>
  </si>
  <si>
    <t>11 Camelford - NW1 0SD</t>
  </si>
  <si>
    <t>13 Billingley - NW1 0HJ</t>
  </si>
  <si>
    <t>18 Sadler House - EC1R 4TS</t>
  </si>
  <si>
    <t>32 Mornington Street - NW1 7QB</t>
  </si>
  <si>
    <t>40 Eric Street - E3 4TQ</t>
  </si>
  <si>
    <t>107 Eric Street - E3 4SR</t>
  </si>
  <si>
    <t>174 Ability Place - E14 9HW</t>
  </si>
  <si>
    <t>4 Vickery Court - EC1V 3QL</t>
  </si>
  <si>
    <t>53 Academy Apartments - E8 1JZ</t>
  </si>
  <si>
    <t>64 Tompion House - EC1V 0HX</t>
  </si>
  <si>
    <t>2 Birchmore Walk - N5 2TJ</t>
  </si>
  <si>
    <t>6 Birchmore Walk - N5 2TJ</t>
  </si>
  <si>
    <t>6 Windermere House - E3 4TD</t>
  </si>
  <si>
    <t>7 York House - NW1 0DS</t>
  </si>
  <si>
    <t>10 Earnshaw House - EC1V 0HT</t>
  </si>
  <si>
    <t>10 Windermere House - E3 4TD</t>
  </si>
  <si>
    <t>25 Windermere House - E3 4TD</t>
  </si>
  <si>
    <t>27 Trimdon - NW1 0HA</t>
  </si>
  <si>
    <t>46 Quaker Court - EC1Y 8QB</t>
  </si>
  <si>
    <t>51 Norton House - E1 2PL</t>
  </si>
  <si>
    <t>329 Ability Place - E14 9DL</t>
  </si>
  <si>
    <t>341 Ability Place - E14 9DL</t>
  </si>
  <si>
    <t>Value</t>
  </si>
  <si>
    <t>Loan</t>
  </si>
  <si>
    <t>Equity</t>
  </si>
  <si>
    <t>Purchase
Costs</t>
  </si>
  <si>
    <t>CGT</t>
  </si>
  <si>
    <t>Loan/Fixed
Expiry</t>
  </si>
  <si>
    <t>Intrerest
Rates</t>
  </si>
  <si>
    <t>Interest
Payments</t>
  </si>
  <si>
    <t>Capital
Payments</t>
  </si>
  <si>
    <t>Gross 
Rent pa</t>
  </si>
  <si>
    <t>Gross Rent
Yield</t>
  </si>
  <si>
    <t>15/06/2027</t>
  </si>
  <si>
    <t>9 Cricketfield Road - E5 8NR</t>
  </si>
  <si>
    <t>1998/2000</t>
  </si>
  <si>
    <t>10 Sandringham Road - E8 2LP</t>
  </si>
  <si>
    <t>12 Brett Road - E8 1JP</t>
  </si>
  <si>
    <t>19 St Marks Rise - E8 2NL</t>
  </si>
  <si>
    <t>33 Wilmot Street  - E2 0BS</t>
  </si>
  <si>
    <t>57 Nightingale Road - E5 8NB</t>
  </si>
  <si>
    <t>97 Eric Street  - E3 4SR</t>
  </si>
  <si>
    <t>111 Downs Road - E5 8DA</t>
  </si>
  <si>
    <t>125 Chatsworth Road - E5 0LA</t>
  </si>
  <si>
    <t>125 Graham Road - E8 1PD</t>
  </si>
  <si>
    <t>178 Chatsworth Road - E5 0LT</t>
  </si>
  <si>
    <t>Sub Total</t>
  </si>
  <si>
    <t>30 English Street - E3 4TD</t>
  </si>
  <si>
    <t>295 Ability Place - E14</t>
  </si>
  <si>
    <t>296 Ability Place - E14</t>
  </si>
  <si>
    <t>317 Ability Place - E14 9DL</t>
  </si>
  <si>
    <t>Ability Place (Parking Nos 4 to 9)- E14 9HB</t>
  </si>
  <si>
    <t>48 Windermere House E3 4TD</t>
  </si>
  <si>
    <t>111 Constantine Road - NW3 2LR</t>
  </si>
  <si>
    <t>*</t>
  </si>
  <si>
    <t>173 Arlington Road - NW1 7EY</t>
  </si>
  <si>
    <t>29/06/2040</t>
  </si>
  <si>
    <t>Grand Totals</t>
  </si>
  <si>
    <t>Compund Calculator</t>
  </si>
  <si>
    <t>Input</t>
  </si>
  <si>
    <t>Amount</t>
  </si>
  <si>
    <t>Appreciation Rate</t>
  </si>
  <si>
    <t>Number of Years</t>
  </si>
  <si>
    <t>Total Compounded Amount</t>
  </si>
  <si>
    <t>The Rule of 72 Calculator</t>
  </si>
  <si>
    <t>Annual Return %</t>
  </si>
  <si>
    <t>The Number of Years to Double</t>
  </si>
  <si>
    <t>Loan Allowed based on 
Rent Cover and LTV Limits</t>
  </si>
  <si>
    <t>Gross Rent Adjusted</t>
  </si>
  <si>
    <t>Lender's Stress Interest Rate Used</t>
  </si>
  <si>
    <t>Lender's (Gross Rent Adjusted) Cover</t>
  </si>
  <si>
    <t>Loan based on (Gross Rent Adjusted) Cover</t>
  </si>
  <si>
    <t>LTV Limit</t>
  </si>
  <si>
    <t>Cash Flow &amp; Value Change</t>
  </si>
  <si>
    <t>Original Property Value</t>
  </si>
  <si>
    <t>Market Value Change (%)</t>
  </si>
  <si>
    <t>Adjusted Property Value</t>
  </si>
  <si>
    <t>Loan-to-Value Ratio (LTV)</t>
  </si>
  <si>
    <t>Loan Amount (Based on Adjusted Value)</t>
  </si>
  <si>
    <t>Lender Paydown Required to Maintain LTV</t>
  </si>
  <si>
    <t>Interest Rate (Annual)</t>
  </si>
  <si>
    <t>Annual Loan Interest Payment (Interest-Only)</t>
  </si>
  <si>
    <t>Gross Rent (Annual)</t>
  </si>
  <si>
    <t>Expenses Ratio (% of Gross Rent)</t>
  </si>
  <si>
    <t>Annual Expenses</t>
  </si>
  <si>
    <t>Net Annual Cash Flow</t>
  </si>
  <si>
    <t>Purchase
Date</t>
  </si>
  <si>
    <t>Forecast
Value
pa (%)</t>
  </si>
  <si>
    <t>Actual
Value
Date</t>
  </si>
  <si>
    <t>Forecast
Gross Rent
pa (%)</t>
  </si>
  <si>
    <t>Forecast
Gross Rent
pa</t>
  </si>
  <si>
    <t>Forecast
Value
(£)</t>
  </si>
  <si>
    <t>Max Loan (Rent vs LTV)</t>
  </si>
  <si>
    <t>New
LTV</t>
  </si>
  <si>
    <t>Estimated Buffers as a % of Gross Rent</t>
  </si>
  <si>
    <t xml:space="preserve">Management incl. vat </t>
  </si>
  <si>
    <t>Expenses incl. s/c + maintenance  excl. interest</t>
  </si>
  <si>
    <t>Interest payments</t>
  </si>
  <si>
    <t>Drawings inc. IV interest payments</t>
  </si>
  <si>
    <t>Profit b/f tax</t>
  </si>
  <si>
    <t>Net
CashFlow</t>
  </si>
  <si>
    <t>Rent
Cover</t>
  </si>
  <si>
    <t>Sale Cost
(%)</t>
  </si>
  <si>
    <t>Sale Cost
(£)</t>
  </si>
  <si>
    <t>CGT (£)</t>
  </si>
  <si>
    <t>Net
Sale
Profit</t>
  </si>
  <si>
    <t>Service
Charge
(£)</t>
  </si>
  <si>
    <t>Pre-Tax
Gain</t>
  </si>
  <si>
    <t>Current
Value</t>
  </si>
  <si>
    <t>Current
LTV</t>
  </si>
  <si>
    <t>Expenses
Rate</t>
  </si>
  <si>
    <t>Expenses
(£)</t>
  </si>
  <si>
    <t>Hold Yield
(After Tax)</t>
  </si>
  <si>
    <t>Reduce
Loan 
Amount</t>
  </si>
  <si>
    <t>A. Global Settings (current portfolio)</t>
  </si>
  <si>
    <t>Global Interest Rate (%)</t>
  </si>
  <si>
    <t>Global Expenses as % of Rent (%)</t>
  </si>
  <si>
    <t>B. Lender Criteria Thresholds</t>
  </si>
  <si>
    <t>Maximum Loan-to-Value (%)</t>
  </si>
  <si>
    <t>Minimum Rent Cover Ratio (×)</t>
  </si>
  <si>
    <t>Rent Haircut %</t>
  </si>
  <si>
    <t>Lender's Stress-Test Interest Rate (%)</t>
  </si>
  <si>
    <t>Void Allowance (%)</t>
  </si>
  <si>
    <t>C. Forecast Inputs</t>
  </si>
  <si>
    <t>Forecast Period (Years)</t>
  </si>
  <si>
    <t>Forecast Interest Rate (%)</t>
  </si>
  <si>
    <t>Annual Valuation Growth Rate (%)</t>
  </si>
  <si>
    <t>Annual Rent Growth Rate (%)</t>
  </si>
  <si>
    <t>Annual Expense Inflation Rate (%)</t>
  </si>
  <si>
    <t>Annual Service Charge Inflation Rate (%)</t>
  </si>
  <si>
    <t>D. Sales Settings</t>
  </si>
  <si>
    <t>Sales Cost (%) incl. agent, early repay, legal</t>
  </si>
  <si>
    <t>Capital Gains Tax Rate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</si>
</sst>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_-;\-* #,##0_-;_-* &quot;-&quot;??_-;_-@"/>
    <numFmt numFmtId="165" formatCode="_(* #,##0_);_(* \(#,##0\);_(* &quot;-&quot;??_);_(@_)"/>
  </numFmts>
  <fonts count="11" x14ac:knownFonts="1">
    <font>
      <sz val="9"/>
      <color theme="1"/>
      <name val="Tahoma"/>
      <scheme val="minor"/>
    </font>
    <font>
      <sz val="12"/>
      <color theme="1"/>
      <name val="Tahoma"/>
      <family val="2"/>
      <scheme val="minor"/>
    </font>
    <font>
      <sz val="12"/>
      <color theme="1"/>
      <name val="Calibri"/>
      <family val="2"/>
    </font>
    <font>
      <sz val="12"/>
      <color theme="0"/>
      <name val="Calibri"/>
      <family val="2"/>
    </font>
    <font>
      <sz val="12"/>
      <color rgb="FFFFFFFF"/>
      <name val="Calibri"/>
      <family val="2"/>
    </font>
    <font>
      <sz val="12"/>
      <color rgb="FF006100"/>
      <name val="Calibri"/>
      <family val="2"/>
    </font>
    <font>
      <sz val="9"/>
      <color rgb="FF000000"/>
      <name val="Tahoma"/>
      <family val="2"/>
    </font>
    <font>
      <b/>
      <sz val="12"/>
      <color theme="1"/>
      <name val="Calibri"/>
      <family val="2"/>
    </font>
    <font>
      <b/>
      <sz val="12"/>
      <color rgb="FF006100"/>
      <name val="Calibri"/>
      <family val="2"/>
    </font>
    <font>
      <sz val="9"/>
      <color theme="1"/>
      <name val="Tahoma"/>
      <family val="2"/>
      <scheme val="minor"/>
    </font>
    <font>
      <b/>
      <sz val="12"/>
      <color theme="0"/>
      <name val="Calibri"/>
      <family val="2"/>
    </font>
  </fonts>
  <fills count="15">
    <fill>
      <patternFill patternType="none"/>
    </fill>
    <fill>
      <patternFill patternType="gray125"/>
    </fill>
    <fill>
      <patternFill patternType="solid">
        <fgColor theme="1"/>
        <bgColor theme="1"/>
      </patternFill>
    </fill>
    <fill>
      <patternFill patternType="solid">
        <fgColor rgb="FFC6EFCE"/>
        <bgColor rgb="FFC6EFCE"/>
      </patternFill>
    </fill>
    <fill>
      <patternFill patternType="solid">
        <fgColor theme="0"/>
        <bgColor theme="0"/>
      </patternFill>
    </fill>
    <fill>
      <patternFill patternType="solid">
        <fgColor rgb="FFDBE5F1"/>
        <bgColor rgb="FFDBE5F1"/>
      </patternFill>
    </fill>
    <fill>
      <patternFill patternType="solid">
        <fgColor rgb="FFFFFF00"/>
        <bgColor theme="1"/>
      </patternFill>
    </fill>
    <fill>
      <patternFill patternType="solid">
        <fgColor rgb="FFFFC000"/>
        <bgColor theme="1"/>
      </patternFill>
    </fill>
    <fill>
      <patternFill patternType="solid">
        <fgColor rgb="FFFFC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59999389629810485"/>
        <bgColor theme="1"/>
      </patternFill>
    </fill>
    <fill>
      <patternFill patternType="solid">
        <fgColor rgb="FFFFFF00"/>
        <bgColor rgb="FFDBE5F1"/>
      </patternFill>
    </fill>
    <fill>
      <patternFill patternType="solid">
        <fgColor rgb="FFCFE2F3"/>
      </patternFill>
    </fill>
    <fill>
      <patternFill patternType="solid">
        <fgColor theme="1"/>
        <bgColor indexed="64"/>
      </patternFill>
    </fill>
  </fills>
  <borders count="43">
    <border>
      <left/>
      <right/>
      <top/>
      <bottom/>
      <diagonal/>
    </border>
    <border>
      <left style="medium">
        <color rgb="FF000000"/>
      </left>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right/>
      <top/>
      <bottom/>
      <diagonal/>
    </border>
    <border>
      <left style="medium">
        <color rgb="FF000000"/>
      </left>
      <right style="medium">
        <color rgb="FF000000"/>
      </right>
      <top style="medium">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rgb="FF000000"/>
      </top>
      <bottom style="medium">
        <color rgb="FF000000"/>
      </bottom>
      <diagonal/>
    </border>
    <border>
      <left style="medium">
        <color rgb="FF000000"/>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s>
  <cellStyleXfs count="2">
    <xf numFmtId="0" fontId="0" fillId="0" borderId="0"/>
    <xf numFmtId="9" fontId="9" fillId="0" borderId="0" applyFont="0" applyFill="0" applyBorder="0" applyAlignment="0" applyProtection="0"/>
  </cellStyleXfs>
  <cellXfs count="152">
    <xf numFmtId="0" fontId="0" fillId="0" borderId="0" xfId="0"/>
    <xf numFmtId="0" fontId="2" fillId="0" borderId="0" xfId="0" applyFont="1"/>
    <xf numFmtId="0" fontId="2" fillId="0" borderId="0" xfId="0" applyFont="1" applyAlignment="1">
      <alignment horizontal="center" vertical="center"/>
    </xf>
    <xf numFmtId="0" fontId="2" fillId="0" borderId="0" xfId="0" applyFont="1" applyAlignment="1">
      <alignment vertical="center"/>
    </xf>
    <xf numFmtId="164" fontId="2" fillId="0" borderId="0" xfId="0" applyNumberFormat="1" applyFont="1" applyAlignment="1">
      <alignmen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164" fontId="3" fillId="0" borderId="0" xfId="0" applyNumberFormat="1" applyFont="1" applyAlignment="1">
      <alignment vertical="center"/>
    </xf>
    <xf numFmtId="10" fontId="3" fillId="0" borderId="0" xfId="0" applyNumberFormat="1" applyFont="1" applyAlignment="1">
      <alignment horizontal="center" vertical="center"/>
    </xf>
    <xf numFmtId="164" fontId="3" fillId="0" borderId="0" xfId="0" applyNumberFormat="1" applyFont="1" applyAlignment="1">
      <alignment horizontal="right" vertical="center"/>
    </xf>
    <xf numFmtId="9" fontId="3" fillId="0" borderId="0" xfId="0" applyNumberFormat="1" applyFont="1" applyAlignment="1">
      <alignment horizontal="center" vertical="center"/>
    </xf>
    <xf numFmtId="165" fontId="3" fillId="0" borderId="0" xfId="0" applyNumberFormat="1" applyFont="1" applyAlignment="1">
      <alignment vertical="center"/>
    </xf>
    <xf numFmtId="0" fontId="2" fillId="0" borderId="9" xfId="0" applyFont="1" applyBorder="1" applyAlignment="1">
      <alignment horizontal="right" vertical="center"/>
    </xf>
    <xf numFmtId="165" fontId="2" fillId="5" borderId="10" xfId="0" applyNumberFormat="1" applyFont="1" applyFill="1" applyBorder="1" applyAlignment="1">
      <alignment horizontal="center" vertical="center"/>
    </xf>
    <xf numFmtId="0" fontId="2" fillId="0" borderId="7" xfId="0" applyFont="1" applyBorder="1" applyAlignment="1">
      <alignment horizontal="right" vertical="center"/>
    </xf>
    <xf numFmtId="10" fontId="2" fillId="5" borderId="5" xfId="0" applyNumberFormat="1" applyFont="1" applyFill="1" applyBorder="1" applyAlignment="1">
      <alignment horizontal="center" vertical="center"/>
    </xf>
    <xf numFmtId="0" fontId="2" fillId="0" borderId="11" xfId="0" applyFont="1" applyBorder="1" applyAlignment="1">
      <alignment horizontal="right" vertical="center"/>
    </xf>
    <xf numFmtId="0" fontId="2" fillId="5" borderId="12" xfId="0" applyFont="1" applyFill="1" applyBorder="1" applyAlignment="1">
      <alignment horizontal="center" vertical="center"/>
    </xf>
    <xf numFmtId="0" fontId="2" fillId="3" borderId="1" xfId="0" applyFont="1" applyFill="1" applyBorder="1" applyAlignment="1">
      <alignment horizontal="right" vertical="center"/>
    </xf>
    <xf numFmtId="165" fontId="5" fillId="3" borderId="14" xfId="0" applyNumberFormat="1" applyFont="1" applyFill="1" applyBorder="1" applyAlignment="1">
      <alignment horizontal="center" vertical="center"/>
    </xf>
    <xf numFmtId="0" fontId="2" fillId="4" borderId="3" xfId="0" applyFont="1" applyFill="1" applyBorder="1" applyAlignment="1">
      <alignment vertical="center"/>
    </xf>
    <xf numFmtId="0" fontId="2" fillId="4" borderId="3" xfId="0" applyFont="1" applyFill="1" applyBorder="1" applyAlignment="1">
      <alignment horizontal="center" vertical="center"/>
    </xf>
    <xf numFmtId="0" fontId="2" fillId="0" borderId="15" xfId="0" applyFont="1" applyBorder="1" applyAlignment="1">
      <alignment horizontal="right" vertical="center"/>
    </xf>
    <xf numFmtId="2" fontId="2" fillId="5" borderId="16" xfId="0" applyNumberFormat="1" applyFont="1" applyFill="1" applyBorder="1" applyAlignment="1">
      <alignment horizontal="center" vertical="center"/>
    </xf>
    <xf numFmtId="9" fontId="2" fillId="5" borderId="5" xfId="0" applyNumberFormat="1" applyFont="1" applyFill="1" applyBorder="1" applyAlignment="1">
      <alignment horizontal="center" vertical="center"/>
    </xf>
    <xf numFmtId="165" fontId="2" fillId="5" borderId="5" xfId="0" applyNumberFormat="1" applyFont="1" applyFill="1" applyBorder="1" applyAlignment="1">
      <alignment horizontal="center" vertical="center"/>
    </xf>
    <xf numFmtId="165" fontId="2" fillId="5" borderId="12" xfId="0" applyNumberFormat="1" applyFont="1" applyFill="1" applyBorder="1" applyAlignment="1">
      <alignment horizontal="center" vertical="center"/>
    </xf>
    <xf numFmtId="0" fontId="2" fillId="0" borderId="9" xfId="0" applyFont="1" applyBorder="1" applyAlignment="1">
      <alignment horizontal="right"/>
    </xf>
    <xf numFmtId="165" fontId="2" fillId="5" borderId="10" xfId="0" applyNumberFormat="1" applyFont="1" applyFill="1" applyBorder="1"/>
    <xf numFmtId="0" fontId="2" fillId="0" borderId="7" xfId="0" applyFont="1" applyBorder="1" applyAlignment="1">
      <alignment horizontal="right"/>
    </xf>
    <xf numFmtId="9" fontId="2" fillId="5" borderId="5" xfId="0" applyNumberFormat="1" applyFont="1" applyFill="1" applyBorder="1" applyAlignment="1">
      <alignment horizontal="center"/>
    </xf>
    <xf numFmtId="165" fontId="2" fillId="0" borderId="5" xfId="0" applyNumberFormat="1" applyFont="1" applyBorder="1"/>
    <xf numFmtId="0" fontId="2" fillId="0" borderId="11" xfId="0" applyFont="1" applyBorder="1" applyAlignment="1">
      <alignment horizontal="right"/>
    </xf>
    <xf numFmtId="165" fontId="2" fillId="0" borderId="13" xfId="0" applyNumberFormat="1" applyFont="1" applyBorder="1"/>
    <xf numFmtId="10" fontId="2" fillId="5" borderId="10" xfId="0" applyNumberFormat="1" applyFont="1" applyFill="1" applyBorder="1" applyAlignment="1">
      <alignment horizontal="center"/>
    </xf>
    <xf numFmtId="165" fontId="2" fillId="5" borderId="5" xfId="0" applyNumberFormat="1" applyFont="1" applyFill="1" applyBorder="1"/>
    <xf numFmtId="0" fontId="2" fillId="0" borderId="8" xfId="0" applyFont="1" applyBorder="1" applyAlignment="1">
      <alignment horizontal="right"/>
    </xf>
    <xf numFmtId="165" fontId="2" fillId="0" borderId="6" xfId="0" applyNumberFormat="1" applyFont="1" applyBorder="1"/>
    <xf numFmtId="0" fontId="7" fillId="3" borderId="2" xfId="0" applyFont="1" applyFill="1" applyBorder="1" applyAlignment="1">
      <alignment horizontal="right"/>
    </xf>
    <xf numFmtId="0" fontId="7" fillId="3" borderId="2" xfId="0" applyFont="1" applyFill="1" applyBorder="1" applyAlignment="1">
      <alignment horizontal="right" vertical="center"/>
    </xf>
    <xf numFmtId="0" fontId="7" fillId="3" borderId="1" xfId="0" applyFont="1" applyFill="1" applyBorder="1" applyAlignment="1">
      <alignment horizontal="right" vertical="center"/>
    </xf>
    <xf numFmtId="2" fontId="8" fillId="3" borderId="4" xfId="0" applyNumberFormat="1" applyFont="1" applyFill="1" applyBorder="1" applyAlignment="1">
      <alignment horizontal="center" vertical="center"/>
    </xf>
    <xf numFmtId="165" fontId="7" fillId="3" borderId="14" xfId="0" applyNumberFormat="1" applyFont="1" applyFill="1" applyBorder="1" applyAlignment="1">
      <alignment horizontal="center" vertical="center"/>
    </xf>
    <xf numFmtId="165" fontId="7" fillId="3" borderId="14" xfId="0" applyNumberFormat="1" applyFont="1" applyFill="1" applyBorder="1"/>
    <xf numFmtId="0" fontId="7" fillId="7" borderId="2" xfId="0" applyFont="1" applyFill="1" applyBorder="1" applyAlignment="1">
      <alignment horizontal="center" vertical="center"/>
    </xf>
    <xf numFmtId="0" fontId="7" fillId="7" borderId="14" xfId="0" applyFont="1" applyFill="1" applyBorder="1" applyAlignment="1">
      <alignment horizontal="center" vertical="center"/>
    </xf>
    <xf numFmtId="0" fontId="7" fillId="7" borderId="2" xfId="0" applyFont="1" applyFill="1" applyBorder="1" applyAlignment="1">
      <alignment horizontal="center" vertical="center" wrapText="1"/>
    </xf>
    <xf numFmtId="0" fontId="7" fillId="8" borderId="18" xfId="0" applyFont="1" applyFill="1" applyBorder="1" applyAlignment="1">
      <alignment horizontal="center" vertical="center"/>
    </xf>
    <xf numFmtId="0" fontId="2" fillId="8" borderId="19" xfId="0" applyFont="1" applyFill="1" applyBorder="1" applyAlignment="1">
      <alignment horizontal="center" vertical="center"/>
    </xf>
    <xf numFmtId="0" fontId="2" fillId="3" borderId="22" xfId="0" applyFont="1" applyFill="1" applyBorder="1" applyAlignment="1">
      <alignment horizontal="right" vertical="center"/>
    </xf>
    <xf numFmtId="9" fontId="2" fillId="3" borderId="23" xfId="1" applyFont="1" applyFill="1" applyBorder="1" applyAlignment="1">
      <alignment horizontal="center" vertical="center"/>
    </xf>
    <xf numFmtId="0" fontId="2" fillId="0" borderId="20" xfId="0" applyFont="1" applyBorder="1" applyAlignment="1">
      <alignment horizontal="right" vertical="center"/>
    </xf>
    <xf numFmtId="9" fontId="2" fillId="0" borderId="21" xfId="1" applyFont="1" applyFill="1" applyBorder="1" applyAlignment="1">
      <alignment horizontal="center" vertical="center"/>
    </xf>
    <xf numFmtId="0" fontId="3" fillId="2" borderId="24" xfId="0" applyFont="1" applyFill="1" applyBorder="1" applyAlignment="1">
      <alignment horizontal="center" vertical="center" wrapText="1"/>
    </xf>
    <xf numFmtId="0" fontId="3" fillId="2" borderId="24" xfId="0" applyFont="1" applyFill="1" applyBorder="1" applyAlignment="1">
      <alignment horizontal="center" vertical="center"/>
    </xf>
    <xf numFmtId="0" fontId="4" fillId="2" borderId="24" xfId="0" applyFont="1" applyFill="1" applyBorder="1" applyAlignment="1">
      <alignment horizontal="center" vertical="center" wrapText="1"/>
    </xf>
    <xf numFmtId="0" fontId="2" fillId="6" borderId="24" xfId="0" applyFont="1" applyFill="1" applyBorder="1" applyAlignment="1">
      <alignment horizontal="center" vertical="center" wrapText="1"/>
    </xf>
    <xf numFmtId="0" fontId="2" fillId="6" borderId="19" xfId="0" applyFont="1" applyFill="1" applyBorder="1" applyAlignment="1">
      <alignment horizontal="center" vertical="center" wrapText="1"/>
    </xf>
    <xf numFmtId="0" fontId="3" fillId="2" borderId="17" xfId="0" applyFont="1" applyFill="1" applyBorder="1" applyAlignment="1">
      <alignment horizontal="center" vertical="center"/>
    </xf>
    <xf numFmtId="14" fontId="3" fillId="2" borderId="17" xfId="0" applyNumberFormat="1" applyFont="1" applyFill="1" applyBorder="1" applyAlignment="1">
      <alignment horizontal="center" vertical="center"/>
    </xf>
    <xf numFmtId="164" fontId="2" fillId="0" borderId="17" xfId="0" applyNumberFormat="1" applyFont="1" applyBorder="1" applyAlignment="1">
      <alignment vertical="center"/>
    </xf>
    <xf numFmtId="164" fontId="2" fillId="5" borderId="17" xfId="0" applyNumberFormat="1" applyFont="1" applyFill="1" applyBorder="1" applyAlignment="1">
      <alignment vertical="center"/>
    </xf>
    <xf numFmtId="9" fontId="2" fillId="5" borderId="17" xfId="0" applyNumberFormat="1" applyFont="1" applyFill="1" applyBorder="1" applyAlignment="1">
      <alignment horizontal="center" vertical="center"/>
    </xf>
    <xf numFmtId="164" fontId="2" fillId="0" borderId="17" xfId="0" applyNumberFormat="1" applyFont="1" applyBorder="1" applyAlignment="1">
      <alignment horizontal="right" vertical="center"/>
    </xf>
    <xf numFmtId="164" fontId="2" fillId="10" borderId="17" xfId="0" applyNumberFormat="1" applyFont="1" applyFill="1" applyBorder="1" applyAlignment="1">
      <alignment vertical="center"/>
    </xf>
    <xf numFmtId="0" fontId="3" fillId="2" borderId="17" xfId="0" applyFont="1" applyFill="1" applyBorder="1" applyAlignment="1">
      <alignment horizontal="center"/>
    </xf>
    <xf numFmtId="10" fontId="2" fillId="5" borderId="17" xfId="0" applyNumberFormat="1" applyFont="1" applyFill="1" applyBorder="1" applyAlignment="1">
      <alignment horizontal="center" vertical="center"/>
    </xf>
    <xf numFmtId="165" fontId="2" fillId="0" borderId="17" xfId="0" applyNumberFormat="1" applyFont="1" applyBorder="1" applyAlignment="1">
      <alignment vertical="center"/>
    </xf>
    <xf numFmtId="165" fontId="2" fillId="5" borderId="17" xfId="0" applyNumberFormat="1" applyFont="1" applyFill="1" applyBorder="1" applyAlignment="1">
      <alignment vertical="center"/>
    </xf>
    <xf numFmtId="10" fontId="2" fillId="0" borderId="17" xfId="0" applyNumberFormat="1" applyFont="1" applyBorder="1" applyAlignment="1">
      <alignment horizontal="center" vertical="center"/>
    </xf>
    <xf numFmtId="165" fontId="2" fillId="12" borderId="17" xfId="0" applyNumberFormat="1" applyFont="1" applyFill="1" applyBorder="1" applyAlignment="1">
      <alignment vertical="center"/>
    </xf>
    <xf numFmtId="9" fontId="2" fillId="9" borderId="17" xfId="0" applyNumberFormat="1" applyFont="1" applyFill="1" applyBorder="1" applyAlignment="1">
      <alignment horizontal="center" vertical="center"/>
    </xf>
    <xf numFmtId="14" fontId="3" fillId="2" borderId="17" xfId="0" applyNumberFormat="1" applyFont="1" applyFill="1" applyBorder="1" applyAlignment="1">
      <alignment horizontal="center"/>
    </xf>
    <xf numFmtId="14" fontId="4" fillId="2" borderId="17" xfId="0" applyNumberFormat="1" applyFont="1" applyFill="1" applyBorder="1" applyAlignment="1">
      <alignment horizontal="center" vertical="center"/>
    </xf>
    <xf numFmtId="0" fontId="3" fillId="2" borderId="26" xfId="0" applyFont="1" applyFill="1" applyBorder="1" applyAlignment="1">
      <alignment horizontal="center" vertical="center"/>
    </xf>
    <xf numFmtId="165" fontId="2" fillId="9" borderId="27" xfId="0" applyNumberFormat="1" applyFont="1" applyFill="1" applyBorder="1" applyAlignment="1">
      <alignment vertical="center"/>
    </xf>
    <xf numFmtId="0" fontId="4" fillId="2" borderId="26" xfId="0" applyFont="1" applyFill="1" applyBorder="1" applyAlignment="1">
      <alignment horizontal="center" vertical="center"/>
    </xf>
    <xf numFmtId="0" fontId="3" fillId="2" borderId="28" xfId="0" applyFont="1" applyFill="1" applyBorder="1" applyAlignment="1">
      <alignment horizontal="center" vertical="center"/>
    </xf>
    <xf numFmtId="14" fontId="3" fillId="2" borderId="29" xfId="0" applyNumberFormat="1" applyFont="1" applyFill="1" applyBorder="1" applyAlignment="1">
      <alignment horizontal="center" vertical="center"/>
    </xf>
    <xf numFmtId="164" fontId="2" fillId="0" borderId="29" xfId="0" applyNumberFormat="1" applyFont="1" applyBorder="1" applyAlignment="1">
      <alignment vertical="center"/>
    </xf>
    <xf numFmtId="164" fontId="2" fillId="5" borderId="29" xfId="0" applyNumberFormat="1" applyFont="1" applyFill="1" applyBorder="1" applyAlignment="1">
      <alignment vertical="center"/>
    </xf>
    <xf numFmtId="9" fontId="2" fillId="5" borderId="29" xfId="0" applyNumberFormat="1" applyFont="1" applyFill="1" applyBorder="1" applyAlignment="1">
      <alignment horizontal="center" vertical="center"/>
    </xf>
    <xf numFmtId="164" fontId="2" fillId="0" borderId="29" xfId="0" applyNumberFormat="1" applyFont="1" applyBorder="1" applyAlignment="1">
      <alignment horizontal="right" vertical="center"/>
    </xf>
    <xf numFmtId="164" fontId="2" fillId="10" borderId="29" xfId="0" applyNumberFormat="1" applyFont="1" applyFill="1" applyBorder="1" applyAlignment="1">
      <alignment vertical="center"/>
    </xf>
    <xf numFmtId="0" fontId="3" fillId="2" borderId="29" xfId="0" applyFont="1" applyFill="1" applyBorder="1" applyAlignment="1">
      <alignment horizontal="center"/>
    </xf>
    <xf numFmtId="10" fontId="2" fillId="5" borderId="29" xfId="0" applyNumberFormat="1" applyFont="1" applyFill="1" applyBorder="1" applyAlignment="1">
      <alignment horizontal="center" vertical="center"/>
    </xf>
    <xf numFmtId="165" fontId="2" fillId="0" borderId="29" xfId="0" applyNumberFormat="1" applyFont="1" applyBorder="1" applyAlignment="1">
      <alignment vertical="center"/>
    </xf>
    <xf numFmtId="165" fontId="2" fillId="5" borderId="29" xfId="0" applyNumberFormat="1" applyFont="1" applyFill="1" applyBorder="1" applyAlignment="1">
      <alignment vertical="center"/>
    </xf>
    <xf numFmtId="10" fontId="2" fillId="0" borderId="29" xfId="0" applyNumberFormat="1" applyFont="1" applyBorder="1" applyAlignment="1">
      <alignment horizontal="center" vertical="center"/>
    </xf>
    <xf numFmtId="165" fontId="2" fillId="12" borderId="29" xfId="0" applyNumberFormat="1" applyFont="1" applyFill="1" applyBorder="1" applyAlignment="1">
      <alignment vertical="center"/>
    </xf>
    <xf numFmtId="9" fontId="2" fillId="9" borderId="29" xfId="0" applyNumberFormat="1" applyFont="1" applyFill="1" applyBorder="1" applyAlignment="1">
      <alignment horizontal="center" vertical="center"/>
    </xf>
    <xf numFmtId="165" fontId="2" fillId="9" borderId="30" xfId="0" applyNumberFormat="1" applyFont="1" applyFill="1" applyBorder="1" applyAlignment="1">
      <alignment vertical="center"/>
    </xf>
    <xf numFmtId="0" fontId="3" fillId="2"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64" fontId="2" fillId="0" borderId="32" xfId="0" applyNumberFormat="1" applyFont="1" applyBorder="1" applyAlignment="1">
      <alignment vertical="center"/>
    </xf>
    <xf numFmtId="164" fontId="2" fillId="5" borderId="32" xfId="0" applyNumberFormat="1" applyFont="1" applyFill="1" applyBorder="1" applyAlignment="1">
      <alignment vertical="center"/>
    </xf>
    <xf numFmtId="9" fontId="2" fillId="5" borderId="32" xfId="0" applyNumberFormat="1" applyFont="1" applyFill="1" applyBorder="1" applyAlignment="1">
      <alignment horizontal="center" vertical="center"/>
    </xf>
    <xf numFmtId="164" fontId="2" fillId="0" borderId="32" xfId="0" applyNumberFormat="1" applyFont="1" applyBorder="1" applyAlignment="1">
      <alignment horizontal="right" vertical="center"/>
    </xf>
    <xf numFmtId="164" fontId="2" fillId="10" borderId="32" xfId="0" applyNumberFormat="1" applyFont="1" applyFill="1" applyBorder="1" applyAlignment="1">
      <alignment vertical="center"/>
    </xf>
    <xf numFmtId="0" fontId="3" fillId="2" borderId="32" xfId="0" applyFont="1" applyFill="1" applyBorder="1" applyAlignment="1">
      <alignment horizontal="center"/>
    </xf>
    <xf numFmtId="10" fontId="2" fillId="5" borderId="32" xfId="0" applyNumberFormat="1" applyFont="1" applyFill="1" applyBorder="1" applyAlignment="1">
      <alignment horizontal="center" vertical="center"/>
    </xf>
    <xf numFmtId="165" fontId="2" fillId="0" borderId="32" xfId="0" applyNumberFormat="1" applyFont="1" applyBorder="1" applyAlignment="1">
      <alignment vertical="center"/>
    </xf>
    <xf numFmtId="165" fontId="2" fillId="5" borderId="32" xfId="0" applyNumberFormat="1" applyFont="1" applyFill="1" applyBorder="1" applyAlignment="1">
      <alignment vertical="center"/>
    </xf>
    <xf numFmtId="10" fontId="2" fillId="0" borderId="32" xfId="0" applyNumberFormat="1" applyFont="1" applyBorder="1" applyAlignment="1">
      <alignment horizontal="center" vertical="center"/>
    </xf>
    <xf numFmtId="165" fontId="2" fillId="12" borderId="32" xfId="0" applyNumberFormat="1" applyFont="1" applyFill="1" applyBorder="1" applyAlignment="1">
      <alignment vertical="center"/>
    </xf>
    <xf numFmtId="9" fontId="2" fillId="9" borderId="32" xfId="0" applyNumberFormat="1" applyFont="1" applyFill="1" applyBorder="1" applyAlignment="1">
      <alignment horizontal="center" vertical="center"/>
    </xf>
    <xf numFmtId="165" fontId="2" fillId="9" borderId="33" xfId="0" applyNumberFormat="1" applyFont="1" applyFill="1" applyBorder="1" applyAlignment="1">
      <alignment vertical="center"/>
    </xf>
    <xf numFmtId="9" fontId="2" fillId="5" borderId="29" xfId="1" applyFont="1" applyFill="1" applyBorder="1" applyAlignment="1">
      <alignment horizontal="center" vertical="center"/>
    </xf>
    <xf numFmtId="0" fontId="5" fillId="3" borderId="18" xfId="0" applyFont="1" applyFill="1" applyBorder="1" applyAlignment="1">
      <alignment horizontal="right" vertical="center"/>
    </xf>
    <xf numFmtId="0" fontId="5" fillId="3" borderId="24" xfId="0" applyFont="1" applyFill="1" applyBorder="1" applyAlignment="1">
      <alignment vertical="center"/>
    </xf>
    <xf numFmtId="164" fontId="5" fillId="3" borderId="24" xfId="0" applyNumberFormat="1" applyFont="1" applyFill="1" applyBorder="1" applyAlignment="1">
      <alignment vertical="center"/>
    </xf>
    <xf numFmtId="10" fontId="5" fillId="3" borderId="24" xfId="0" applyNumberFormat="1" applyFont="1" applyFill="1" applyBorder="1" applyAlignment="1">
      <alignment horizontal="center" vertical="center"/>
    </xf>
    <xf numFmtId="9" fontId="5" fillId="3" borderId="24" xfId="1" applyFont="1" applyFill="1" applyBorder="1" applyAlignment="1">
      <alignment horizontal="center" vertical="center"/>
    </xf>
    <xf numFmtId="9" fontId="5" fillId="3" borderId="24" xfId="0" applyNumberFormat="1" applyFont="1" applyFill="1" applyBorder="1" applyAlignment="1">
      <alignment horizontal="center" vertical="center"/>
    </xf>
    <xf numFmtId="165" fontId="5" fillId="3" borderId="24" xfId="0" applyNumberFormat="1" applyFont="1" applyFill="1" applyBorder="1" applyAlignment="1">
      <alignment vertical="center"/>
    </xf>
    <xf numFmtId="165" fontId="5" fillId="3" borderId="19" xfId="0" applyNumberFormat="1" applyFont="1" applyFill="1" applyBorder="1" applyAlignment="1">
      <alignment vertical="center"/>
    </xf>
    <xf numFmtId="0" fontId="3" fillId="2" borderId="29" xfId="0" applyFont="1" applyFill="1" applyBorder="1" applyAlignment="1">
      <alignment horizontal="center" vertical="center"/>
    </xf>
    <xf numFmtId="0" fontId="5" fillId="3" borderId="24" xfId="0" applyFont="1" applyFill="1" applyBorder="1" applyAlignment="1">
      <alignment horizontal="center" vertical="center"/>
    </xf>
    <xf numFmtId="164" fontId="5" fillId="3" borderId="24" xfId="0" applyNumberFormat="1" applyFont="1" applyFill="1" applyBorder="1" applyAlignment="1">
      <alignment horizontal="right" vertical="center"/>
    </xf>
    <xf numFmtId="0" fontId="4" fillId="2" borderId="32" xfId="0" applyFont="1" applyFill="1" applyBorder="1" applyAlignment="1">
      <alignment horizontal="center"/>
    </xf>
    <xf numFmtId="164" fontId="3" fillId="2" borderId="24" xfId="0" applyNumberFormat="1" applyFont="1" applyFill="1" applyBorder="1" applyAlignment="1">
      <alignment vertical="center"/>
    </xf>
    <xf numFmtId="10" fontId="3" fillId="2" borderId="24" xfId="0" applyNumberFormat="1" applyFont="1" applyFill="1" applyBorder="1" applyAlignment="1">
      <alignment horizontal="center" vertical="center"/>
    </xf>
    <xf numFmtId="9" fontId="3" fillId="2" borderId="24" xfId="1" applyFont="1" applyFill="1" applyBorder="1" applyAlignment="1">
      <alignment horizontal="center" vertical="center"/>
    </xf>
    <xf numFmtId="164" fontId="3" fillId="2" borderId="24" xfId="0" applyNumberFormat="1" applyFont="1" applyFill="1" applyBorder="1" applyAlignment="1">
      <alignment horizontal="right" vertical="center"/>
    </xf>
    <xf numFmtId="9" fontId="3" fillId="2" borderId="24" xfId="0" applyNumberFormat="1" applyFont="1" applyFill="1" applyBorder="1" applyAlignment="1">
      <alignment horizontal="center" vertical="center"/>
    </xf>
    <xf numFmtId="164" fontId="2" fillId="11" borderId="24" xfId="0" applyNumberFormat="1" applyFont="1" applyFill="1" applyBorder="1" applyAlignment="1">
      <alignment vertical="center"/>
    </xf>
    <xf numFmtId="0" fontId="3" fillId="2" borderId="24" xfId="0" applyFont="1" applyFill="1" applyBorder="1" applyAlignment="1">
      <alignment vertical="center"/>
    </xf>
    <xf numFmtId="165" fontId="3" fillId="2" borderId="24" xfId="0" applyNumberFormat="1" applyFont="1" applyFill="1" applyBorder="1" applyAlignment="1">
      <alignment vertical="center"/>
    </xf>
    <xf numFmtId="165" fontId="2" fillId="6" borderId="24" xfId="0" applyNumberFormat="1" applyFont="1" applyFill="1" applyBorder="1" applyAlignment="1">
      <alignment vertical="center"/>
    </xf>
    <xf numFmtId="9" fontId="2" fillId="6" borderId="24" xfId="0" applyNumberFormat="1" applyFont="1" applyFill="1" applyBorder="1" applyAlignment="1">
      <alignment horizontal="center" vertical="center"/>
    </xf>
    <xf numFmtId="165" fontId="2" fillId="6" borderId="19" xfId="0" applyNumberFormat="1" applyFont="1" applyFill="1" applyBorder="1" applyAlignment="1">
      <alignment vertical="center"/>
    </xf>
    <xf numFmtId="10" fontId="2" fillId="10" borderId="29" xfId="1" applyNumberFormat="1" applyFont="1" applyFill="1" applyBorder="1" applyAlignment="1">
      <alignment horizontal="center" vertical="center"/>
    </xf>
    <xf numFmtId="10" fontId="5" fillId="3" borderId="24" xfId="1" applyNumberFormat="1" applyFont="1" applyFill="1" applyBorder="1" applyAlignment="1">
      <alignment horizontal="center" vertical="center"/>
    </xf>
    <xf numFmtId="10" fontId="2" fillId="10" borderId="24" xfId="1" applyNumberFormat="1" applyFont="1" applyFill="1" applyBorder="1" applyAlignment="1">
      <alignment horizontal="center" vertical="center"/>
    </xf>
    <xf numFmtId="0" fontId="2" fillId="0" borderId="3" xfId="0" applyFont="1" applyBorder="1" applyAlignment="1">
      <alignment vertical="center"/>
    </xf>
    <xf numFmtId="0" fontId="2" fillId="0" borderId="3" xfId="0" applyFont="1" applyBorder="1" applyAlignment="1">
      <alignment horizontal="center" vertical="center"/>
    </xf>
    <xf numFmtId="0" fontId="10" fillId="14" borderId="25" xfId="0" applyFont="1" applyFill="1" applyBorder="1" applyAlignment="1">
      <alignment horizontal="center" vertical="center" wrapText="1"/>
    </xf>
    <xf numFmtId="0" fontId="10" fillId="14" borderId="40" xfId="0" applyFont="1" applyFill="1" applyBorder="1" applyAlignment="1">
      <alignment horizontal="center" wrapText="1"/>
    </xf>
    <xf numFmtId="0" fontId="10" fillId="14" borderId="40"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18" xfId="0" applyFont="1" applyFill="1" applyBorder="1" applyAlignment="1">
      <alignment horizontal="right" vertical="center"/>
    </xf>
    <xf numFmtId="0" fontId="1" fillId="0" borderId="0" xfId="0" applyFont="1"/>
    <xf numFmtId="0" fontId="1" fillId="0" borderId="38" xfId="0" applyFont="1" applyBorder="1" applyAlignment="1">
      <alignment horizontal="right" vertical="center" wrapText="1"/>
    </xf>
    <xf numFmtId="10" fontId="1" fillId="13" borderId="39" xfId="0" applyNumberFormat="1" applyFont="1" applyFill="1" applyBorder="1"/>
    <xf numFmtId="0" fontId="1" fillId="0" borderId="34" xfId="0" applyFont="1" applyBorder="1" applyAlignment="1">
      <alignment horizontal="right" vertical="center" wrapText="1"/>
    </xf>
    <xf numFmtId="10" fontId="1" fillId="13" borderId="36" xfId="0" applyNumberFormat="1" applyFont="1" applyFill="1" applyBorder="1"/>
    <xf numFmtId="0" fontId="1" fillId="13" borderId="36" xfId="0" applyFont="1" applyFill="1" applyBorder="1"/>
    <xf numFmtId="0" fontId="1" fillId="0" borderId="35" xfId="0" applyFont="1" applyBorder="1" applyAlignment="1">
      <alignment horizontal="right" vertical="center" wrapText="1"/>
    </xf>
    <xf numFmtId="10" fontId="1" fillId="13" borderId="37" xfId="0" applyNumberFormat="1" applyFont="1" applyFill="1" applyBorder="1"/>
    <xf numFmtId="0" fontId="1" fillId="0" borderId="41" xfId="0" applyFont="1" applyBorder="1" applyAlignment="1">
      <alignment horizontal="right" vertical="center" wrapText="1"/>
    </xf>
    <xf numFmtId="10" fontId="1" fillId="0" borderId="42" xfId="0" applyNumberFormat="1" applyFont="1" applyBorder="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3"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customschemas.google.com/relationships/workbookmetadata" Target="metadata"/><Relationship Id="rId15" Type="http://schemas.openxmlformats.org/officeDocument/2006/relationships/calcChain" Target="calcChain.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0</xdr:rowOff>
    </xdr:from>
    <xdr:to>
      <xdr:col>16</xdr:col>
      <xdr:colOff>7620</xdr:colOff>
      <xdr:row>15</xdr:row>
      <xdr:rowOff>137160</xdr:rowOff>
    </xdr:to>
    <xdr:sp macro="" textlink="">
      <xdr:nvSpPr>
        <xdr:cNvPr id="2" name="TextBox 1">
          <a:extLst>
            <a:ext uri="{FF2B5EF4-FFF2-40B4-BE49-F238E27FC236}">
              <a16:creationId xmlns:a16="http://schemas.microsoft.com/office/drawing/2014/main" id="{74B56555-72ED-6C86-130E-ACC83217E7BC}"/>
            </a:ext>
          </a:extLst>
        </xdr:cNvPr>
        <xdr:cNvSpPr txBox="1"/>
      </xdr:nvSpPr>
      <xdr:spPr>
        <a:xfrm>
          <a:off x="563880" y="144780"/>
          <a:ext cx="8221980" cy="2164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a:solidFill>
                <a:schemeClr val="dk1"/>
              </a:solidFill>
              <a:effectLst/>
              <a:latin typeface="+mn-lt"/>
              <a:ea typeface="+mn-ea"/>
              <a:cs typeface="+mn-cs"/>
            </a:rPr>
            <a:t>Summary</a:t>
          </a:r>
          <a:endParaRPr lang="en-IN"/>
        </a:p>
        <a:p>
          <a:r>
            <a:rPr lang="en-IN" sz="1100" b="0" i="0">
              <a:solidFill>
                <a:schemeClr val="dk1"/>
              </a:solidFill>
              <a:effectLst/>
              <a:latin typeface="+mn-lt"/>
              <a:ea typeface="+mn-ea"/>
              <a:cs typeface="+mn-cs"/>
            </a:rPr>
            <a:t>Seeking an experienced Excel financial modeller to enhance a property portfolio dashboard. The task involves reviewing, cleaning, and improving an existing spreadsheet to track properties, loans, rents, and KPIs. The goal is to standardize financial calculations, add automation, and create professional dashboards for annual reporting.</a:t>
          </a:r>
        </a:p>
        <a:p>
          <a:r>
            <a:rPr lang="en-IN" sz="1100" b="0" i="0">
              <a:solidFill>
                <a:schemeClr val="dk1"/>
              </a:solidFill>
              <a:effectLst/>
              <a:latin typeface="+mn-lt"/>
              <a:ea typeface="+mn-ea"/>
              <a:cs typeface="+mn-cs"/>
            </a:rPr>
            <a:t>DeliverablesReview and enhance existing spreadsheet</a:t>
          </a:r>
        </a:p>
        <a:p>
          <a:r>
            <a:rPr lang="en-IN" sz="1100" b="0" i="0">
              <a:solidFill>
                <a:schemeClr val="dk1"/>
              </a:solidFill>
              <a:effectLst/>
              <a:latin typeface="+mn-lt"/>
              <a:ea typeface="+mn-ea"/>
              <a:cs typeface="+mn-cs"/>
            </a:rPr>
            <a:t>Standardize financial calculations</a:t>
          </a:r>
        </a:p>
        <a:p>
          <a:r>
            <a:rPr lang="en-IN" sz="1100" b="0" i="0">
              <a:solidFill>
                <a:schemeClr val="dk1"/>
              </a:solidFill>
              <a:effectLst/>
              <a:latin typeface="+mn-lt"/>
              <a:ea typeface="+mn-ea"/>
              <a:cs typeface="+mn-cs"/>
            </a:rPr>
            <a:t>Add automation features</a:t>
          </a:r>
        </a:p>
        <a:p>
          <a:r>
            <a:rPr lang="en-IN" sz="1100" b="0" i="0">
              <a:solidFill>
                <a:schemeClr val="dk1"/>
              </a:solidFill>
              <a:effectLst/>
              <a:latin typeface="+mn-lt"/>
              <a:ea typeface="+mn-ea"/>
              <a:cs typeface="+mn-cs"/>
            </a:rPr>
            <a:t>Create professional dashboards</a:t>
          </a:r>
        </a:p>
        <a:p>
          <a:r>
            <a:rPr lang="en-IN" sz="1100" b="0" i="0">
              <a:solidFill>
                <a:schemeClr val="dk1"/>
              </a:solidFill>
              <a:effectLst/>
              <a:latin typeface="+mn-lt"/>
              <a:ea typeface="+mn-ea"/>
              <a:cs typeface="+mn-cs"/>
            </a:rPr>
            <a:t>Ensure compatibility with Excel and Google Sheets</a:t>
          </a:r>
        </a:p>
        <a:p>
          <a:endParaRPr lang="en-IN" sz="1100"/>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Tahoma"/>
        <a:ea typeface="Tahoma"/>
        <a:cs typeface="Tahoma"/>
      </a:majorFont>
      <a:minorFont>
        <a:latin typeface="Tahoma"/>
        <a:ea typeface="Tahoma"/>
        <a:cs typeface="Taho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0604-1E6B-D241-B077-31ECEC251D04}">
  <sheetPr codeName="Sheet10">
    <pageSetUpPr fitToPage="1"/>
  </sheetPr>
  <dimension ref="A1:AL949"/>
  <sheetViews>
    <sheetView showGridLines="0" showZeros="0" zoomScaleNormal="100" workbookViewId="0">
      <selection activeCell="G11" sqref="G11"/>
    </sheetView>
  </sheetViews>
  <sheetFormatPr defaultColWidth="14.375" defaultRowHeight="15.6" x14ac:dyDescent="0.3"/>
  <cols>
    <col min="1" max="1" width="51.75" style="1" customWidth="1"/>
    <col min="2" max="3" width="13.75" style="1" bestFit="1" customWidth="1"/>
    <col min="4" max="4" width="13" style="1" bestFit="1" customWidth="1"/>
    <col min="5" max="5" width="13.75" style="1" bestFit="1" customWidth="1"/>
    <col min="6" max="6" width="9.75" style="1" bestFit="1" customWidth="1"/>
    <col min="7" max="7" width="13.75" style="1" bestFit="1" customWidth="1"/>
    <col min="8" max="8" width="10.375" style="1" bestFit="1" customWidth="1"/>
    <col min="9" max="9" width="10.75" style="1" bestFit="1" customWidth="1"/>
    <col min="10" max="10" width="13.75" style="1" bestFit="1" customWidth="1"/>
    <col min="11" max="11" width="5.625" style="1" customWidth="1"/>
    <col min="12" max="12" width="12.625" style="1" bestFit="1" customWidth="1"/>
    <col min="13" max="13" width="8.625" style="1" bestFit="1" customWidth="1"/>
    <col min="14" max="16" width="13.75" style="1" bestFit="1" customWidth="1"/>
    <col min="17" max="17" width="12" style="1" bestFit="1" customWidth="1"/>
    <col min="18" max="18" width="13" style="1" bestFit="1" customWidth="1"/>
    <col min="19" max="19" width="9.75" style="1" bestFit="1" customWidth="1"/>
    <col min="20" max="21" width="11" style="1" bestFit="1" customWidth="1"/>
    <col min="22" max="22" width="12.625" style="1" bestFit="1" customWidth="1"/>
    <col min="23" max="23" width="9.75" style="1" bestFit="1" customWidth="1"/>
    <col min="24" max="24" width="12.625" style="1" bestFit="1" customWidth="1"/>
    <col min="25" max="25" width="8.625" style="1" bestFit="1" customWidth="1"/>
    <col min="26" max="26" width="10.75" style="1" customWidth="1"/>
    <col min="27" max="27" width="11.25" style="1" customWidth="1"/>
    <col min="28" max="28" width="8.375" style="1" bestFit="1" customWidth="1"/>
    <col min="29" max="29" width="13.75" style="1" bestFit="1" customWidth="1"/>
    <col min="30" max="30" width="6" style="1" bestFit="1" customWidth="1"/>
    <col min="31" max="31" width="8" style="1" bestFit="1" customWidth="1"/>
    <col min="32" max="32" width="10.75" style="1" bestFit="1" customWidth="1"/>
    <col min="33" max="33" width="2.625" style="1" bestFit="1" customWidth="1"/>
    <col min="34" max="38" width="8.75" style="1" customWidth="1"/>
    <col min="39" max="16384" width="14.375" style="1"/>
  </cols>
  <sheetData>
    <row r="1" spans="1:38" ht="16.2" thickBot="1" x14ac:dyDescent="0.35">
      <c r="A1" s="6"/>
      <c r="B1" s="7"/>
      <c r="C1" s="8"/>
      <c r="D1" s="7"/>
      <c r="E1" s="8"/>
      <c r="F1" s="9"/>
      <c r="G1" s="8"/>
      <c r="H1" s="8"/>
      <c r="I1" s="8"/>
      <c r="J1" s="8"/>
      <c r="K1" s="7"/>
      <c r="L1" s="10"/>
      <c r="M1" s="11"/>
      <c r="N1" s="8"/>
      <c r="O1" s="8"/>
      <c r="P1" s="8"/>
      <c r="Q1" s="8"/>
      <c r="R1" s="5"/>
      <c r="S1" s="9"/>
      <c r="T1" s="12"/>
      <c r="U1" s="12"/>
      <c r="V1" s="12"/>
      <c r="W1" s="9"/>
      <c r="X1" s="12"/>
      <c r="Y1" s="9"/>
      <c r="Z1" s="9"/>
      <c r="AA1" s="12"/>
      <c r="AB1" s="12"/>
      <c r="AC1" s="12"/>
      <c r="AD1" s="11"/>
      <c r="AE1" s="9"/>
      <c r="AF1" s="12" t="e">
        <f>SUM(#REF!)</f>
        <v>#REF!</v>
      </c>
      <c r="AG1" s="3"/>
      <c r="AH1" s="3"/>
      <c r="AI1" s="3"/>
      <c r="AJ1" s="3"/>
      <c r="AK1" s="3"/>
      <c r="AL1" s="3"/>
    </row>
    <row r="2" spans="1:38" ht="31.8" thickBot="1" x14ac:dyDescent="0.35">
      <c r="A2" s="47" t="s">
        <v>69</v>
      </c>
      <c r="B2" s="46" t="s">
        <v>61</v>
      </c>
      <c r="C2" s="3"/>
      <c r="D2" s="2"/>
      <c r="E2" s="3"/>
      <c r="F2" s="3"/>
      <c r="G2" s="2"/>
      <c r="H2" s="2"/>
      <c r="I2" s="2"/>
      <c r="J2" s="2"/>
      <c r="K2" s="3"/>
      <c r="L2" s="3"/>
      <c r="M2" s="3"/>
      <c r="N2" s="3"/>
      <c r="O2" s="3"/>
      <c r="P2" s="3"/>
      <c r="Q2" s="3"/>
      <c r="R2" s="3"/>
      <c r="S2" s="3"/>
      <c r="T2" s="3"/>
      <c r="U2" s="3"/>
      <c r="V2" s="3"/>
      <c r="W2" s="3"/>
      <c r="X2" s="3"/>
      <c r="Y2" s="3"/>
      <c r="Z2" s="3"/>
      <c r="AA2" s="3"/>
      <c r="AB2" s="3"/>
      <c r="AC2" s="3"/>
      <c r="AD2" s="3"/>
      <c r="AE2" s="3"/>
      <c r="AF2" s="3"/>
      <c r="AG2" s="3"/>
      <c r="AH2" s="3"/>
      <c r="AI2" s="3"/>
      <c r="AJ2" s="3"/>
    </row>
    <row r="3" spans="1:38" x14ac:dyDescent="0.3">
      <c r="A3" s="13" t="s">
        <v>70</v>
      </c>
      <c r="B3" s="14">
        <v>2105168</v>
      </c>
      <c r="C3" s="3"/>
      <c r="D3" s="2"/>
      <c r="E3" s="3"/>
      <c r="F3" s="3"/>
      <c r="G3" s="2"/>
      <c r="H3" s="2"/>
      <c r="I3" s="2"/>
      <c r="J3" s="2"/>
      <c r="K3" s="3"/>
      <c r="L3" s="3"/>
      <c r="M3" s="3"/>
      <c r="N3" s="3"/>
      <c r="O3" s="3"/>
      <c r="P3" s="3"/>
      <c r="Q3" s="3"/>
      <c r="R3" s="3"/>
      <c r="S3" s="3"/>
      <c r="T3" s="3"/>
      <c r="U3" s="3"/>
      <c r="V3" s="3"/>
      <c r="W3" s="3"/>
      <c r="X3" s="3"/>
      <c r="Y3" s="3"/>
      <c r="Z3" s="3"/>
      <c r="AA3" s="3"/>
      <c r="AB3" s="3"/>
      <c r="AC3" s="3"/>
      <c r="AD3" s="3"/>
      <c r="AE3" s="3"/>
      <c r="AF3" s="3"/>
      <c r="AG3" s="3"/>
      <c r="AH3" s="3"/>
      <c r="AI3" s="3"/>
      <c r="AJ3" s="3"/>
    </row>
    <row r="4" spans="1:38" x14ac:dyDescent="0.3">
      <c r="A4" s="15" t="s">
        <v>71</v>
      </c>
      <c r="B4" s="16">
        <v>5.2499999999999998E-2</v>
      </c>
      <c r="C4" s="3"/>
      <c r="D4" s="2"/>
      <c r="E4" s="3"/>
      <c r="F4" s="3"/>
      <c r="G4" s="2"/>
      <c r="H4" s="2"/>
      <c r="I4" s="2"/>
      <c r="J4" s="2"/>
      <c r="K4" s="3"/>
      <c r="L4" s="3"/>
      <c r="M4" s="3"/>
      <c r="N4" s="3"/>
      <c r="O4" s="3"/>
      <c r="P4" s="3"/>
      <c r="Q4" s="3"/>
      <c r="R4" s="3"/>
      <c r="S4" s="3"/>
      <c r="T4" s="3"/>
      <c r="U4" s="3"/>
      <c r="V4" s="3"/>
      <c r="W4" s="3"/>
      <c r="X4" s="3"/>
      <c r="Y4" s="3"/>
      <c r="Z4" s="3"/>
      <c r="AA4" s="3"/>
      <c r="AB4" s="3"/>
      <c r="AC4" s="3"/>
      <c r="AD4" s="3"/>
      <c r="AE4" s="3"/>
      <c r="AF4" s="3"/>
      <c r="AG4" s="3"/>
      <c r="AH4" s="3"/>
      <c r="AI4" s="3"/>
      <c r="AJ4" s="3"/>
    </row>
    <row r="5" spans="1:38" x14ac:dyDescent="0.3">
      <c r="A5" s="15" t="s">
        <v>72</v>
      </c>
      <c r="B5" s="25">
        <v>1.45</v>
      </c>
      <c r="C5" s="3"/>
      <c r="D5" s="2"/>
      <c r="E5" s="3"/>
      <c r="F5" s="3"/>
      <c r="G5" s="2"/>
      <c r="H5" s="2"/>
      <c r="I5" s="2"/>
      <c r="J5" s="2"/>
      <c r="K5" s="3"/>
      <c r="L5" s="3"/>
      <c r="M5" s="3"/>
      <c r="N5" s="3"/>
      <c r="O5" s="3"/>
      <c r="P5" s="3"/>
      <c r="Q5" s="3"/>
      <c r="R5" s="3"/>
      <c r="S5" s="3"/>
      <c r="T5" s="3"/>
      <c r="U5" s="3"/>
      <c r="V5" s="3"/>
      <c r="W5" s="3"/>
      <c r="X5" s="3"/>
      <c r="Y5" s="3"/>
      <c r="Z5" s="3"/>
      <c r="AA5" s="3"/>
      <c r="AB5" s="3"/>
      <c r="AC5" s="3"/>
      <c r="AD5" s="3"/>
      <c r="AE5" s="3"/>
      <c r="AF5" s="3"/>
      <c r="AG5" s="3"/>
      <c r="AH5" s="3"/>
      <c r="AI5" s="3"/>
      <c r="AJ5" s="3"/>
    </row>
    <row r="6" spans="1:38" x14ac:dyDescent="0.3">
      <c r="A6" s="15" t="s">
        <v>73</v>
      </c>
      <c r="B6" s="26">
        <f>B3 / (B5 * B4)</f>
        <v>27654095.238095239</v>
      </c>
      <c r="C6" s="3"/>
      <c r="D6" s="2"/>
      <c r="E6" s="3"/>
      <c r="F6" s="3"/>
      <c r="G6" s="2"/>
      <c r="H6" s="2"/>
      <c r="I6" s="2"/>
      <c r="J6" s="2"/>
      <c r="K6" s="3"/>
      <c r="L6" s="3"/>
      <c r="M6" s="3"/>
      <c r="N6" s="3"/>
      <c r="O6" s="3"/>
      <c r="P6" s="3"/>
      <c r="Q6" s="3"/>
      <c r="R6" s="3"/>
      <c r="S6" s="3"/>
      <c r="T6" s="3"/>
      <c r="U6" s="3"/>
      <c r="V6" s="3"/>
      <c r="W6" s="3"/>
      <c r="X6" s="3"/>
      <c r="Y6" s="3"/>
      <c r="Z6" s="3"/>
      <c r="AA6" s="3"/>
      <c r="AB6" s="3"/>
      <c r="AC6" s="3"/>
      <c r="AD6" s="3"/>
      <c r="AE6" s="3"/>
      <c r="AF6" s="3"/>
      <c r="AG6" s="3"/>
      <c r="AH6" s="3"/>
      <c r="AI6" s="3"/>
      <c r="AJ6" s="3"/>
    </row>
    <row r="7" spans="1:38" x14ac:dyDescent="0.3">
      <c r="A7" s="15" t="s">
        <v>74</v>
      </c>
      <c r="B7" s="25">
        <v>0.7</v>
      </c>
      <c r="C7" s="3"/>
      <c r="D7" s="2"/>
      <c r="E7" s="3"/>
      <c r="F7" s="3"/>
      <c r="G7" s="2"/>
      <c r="H7" s="2"/>
      <c r="I7" s="2"/>
      <c r="J7" s="2"/>
      <c r="K7" s="3"/>
      <c r="L7" s="3"/>
      <c r="M7" s="3"/>
      <c r="N7" s="3"/>
      <c r="O7" s="3"/>
      <c r="P7" s="3"/>
      <c r="Q7" s="3"/>
      <c r="R7" s="3"/>
      <c r="S7" s="3"/>
      <c r="T7" s="3"/>
      <c r="U7" s="3"/>
      <c r="V7" s="3"/>
      <c r="W7" s="3"/>
      <c r="X7" s="3"/>
      <c r="Y7" s="3"/>
      <c r="Z7" s="3"/>
      <c r="AA7" s="3"/>
      <c r="AB7" s="3"/>
      <c r="AC7" s="3"/>
      <c r="AD7" s="3"/>
      <c r="AE7" s="3"/>
      <c r="AF7" s="3"/>
      <c r="AG7" s="3"/>
      <c r="AH7" s="3"/>
      <c r="AI7" s="3"/>
      <c r="AJ7" s="3"/>
    </row>
    <row r="8" spans="1:38" ht="16.2" thickBot="1" x14ac:dyDescent="0.35">
      <c r="A8" s="17" t="s">
        <v>24</v>
      </c>
      <c r="B8" s="27">
        <v>33500000</v>
      </c>
      <c r="C8" s="3"/>
      <c r="D8" s="2"/>
      <c r="E8" s="3"/>
      <c r="F8" s="3"/>
      <c r="G8" s="2"/>
      <c r="H8" s="2"/>
      <c r="I8" s="2"/>
      <c r="J8" s="2"/>
      <c r="K8" s="3"/>
      <c r="L8" s="3"/>
      <c r="M8" s="3"/>
      <c r="N8" s="3"/>
      <c r="O8" s="3"/>
      <c r="P8" s="3"/>
      <c r="Q8" s="3"/>
      <c r="R8" s="3"/>
      <c r="S8" s="3"/>
      <c r="T8" s="3"/>
      <c r="U8" s="3"/>
      <c r="V8" s="3"/>
      <c r="W8" s="3"/>
      <c r="X8" s="3"/>
      <c r="Y8" s="3"/>
      <c r="Z8" s="3"/>
      <c r="AA8" s="3"/>
      <c r="AB8" s="3"/>
      <c r="AC8" s="3"/>
      <c r="AD8" s="3"/>
      <c r="AE8" s="3"/>
      <c r="AF8" s="3"/>
      <c r="AG8" s="3"/>
      <c r="AH8" s="3"/>
      <c r="AI8" s="3"/>
      <c r="AJ8" s="3"/>
    </row>
    <row r="9" spans="1:38" ht="16.2" thickBot="1" x14ac:dyDescent="0.35">
      <c r="A9" s="40" t="s">
        <v>94</v>
      </c>
      <c r="B9" s="43">
        <f>MIN(B6, B7 * B8)</f>
        <v>23450000</v>
      </c>
      <c r="C9" s="3"/>
      <c r="D9" s="2"/>
      <c r="E9" s="3"/>
      <c r="F9" s="3"/>
      <c r="G9" s="2"/>
      <c r="H9" s="2"/>
      <c r="I9" s="2"/>
      <c r="J9" s="2"/>
      <c r="K9" s="3"/>
      <c r="L9" s="3"/>
      <c r="M9" s="3"/>
      <c r="N9" s="3"/>
      <c r="O9" s="3"/>
      <c r="P9" s="3"/>
      <c r="Q9" s="3"/>
      <c r="R9" s="3"/>
      <c r="S9" s="3"/>
      <c r="T9" s="3"/>
      <c r="U9" s="3"/>
      <c r="V9" s="3"/>
      <c r="W9" s="3"/>
      <c r="X9" s="3"/>
      <c r="Y9" s="3"/>
      <c r="Z9" s="3"/>
      <c r="AA9" s="3"/>
      <c r="AB9" s="3"/>
      <c r="AC9" s="3"/>
      <c r="AD9" s="3"/>
      <c r="AE9" s="3"/>
      <c r="AF9" s="3"/>
      <c r="AG9" s="3"/>
      <c r="AH9" s="3"/>
      <c r="AI9" s="3"/>
      <c r="AJ9" s="3"/>
    </row>
    <row r="10" spans="1:38" ht="16.2" thickBot="1" x14ac:dyDescent="0.35">
      <c r="A10" s="3"/>
      <c r="B10" s="2"/>
      <c r="C10" s="3"/>
      <c r="D10" s="2"/>
      <c r="E10" s="3"/>
      <c r="F10" s="3"/>
      <c r="G10" s="2"/>
      <c r="H10" s="2"/>
      <c r="I10" s="2"/>
      <c r="J10" s="2"/>
      <c r="K10" s="3"/>
      <c r="L10" s="3"/>
      <c r="M10" s="3"/>
      <c r="N10" s="3"/>
      <c r="O10" s="3"/>
      <c r="P10" s="3"/>
      <c r="Q10" s="3"/>
      <c r="R10" s="3"/>
      <c r="S10" s="3"/>
      <c r="T10" s="3"/>
      <c r="U10" s="3"/>
      <c r="V10" s="3"/>
      <c r="W10" s="3"/>
      <c r="X10" s="3"/>
      <c r="Y10" s="3"/>
      <c r="Z10" s="3"/>
      <c r="AA10" s="3"/>
      <c r="AB10" s="3"/>
      <c r="AC10" s="3"/>
      <c r="AD10" s="3"/>
      <c r="AE10" s="3"/>
      <c r="AF10" s="3"/>
      <c r="AG10" s="3"/>
      <c r="AH10" s="3"/>
      <c r="AI10" s="3"/>
      <c r="AJ10" s="3"/>
    </row>
    <row r="11" spans="1:38" ht="16.2" thickBot="1" x14ac:dyDescent="0.35">
      <c r="A11" s="45" t="s">
        <v>75</v>
      </c>
      <c r="B11" s="46" t="s">
        <v>61</v>
      </c>
      <c r="C11" s="3"/>
      <c r="D11" s="2"/>
      <c r="E11" s="3"/>
      <c r="F11" s="3"/>
      <c r="G11" s="2"/>
      <c r="H11" s="2"/>
      <c r="I11" s="2"/>
      <c r="J11" s="2"/>
      <c r="K11" s="3"/>
      <c r="L11" s="3"/>
      <c r="M11" s="3"/>
      <c r="N11" s="3"/>
      <c r="O11" s="3"/>
      <c r="P11" s="3"/>
      <c r="Q11" s="3"/>
      <c r="R11" s="3"/>
      <c r="S11" s="3"/>
      <c r="T11" s="3"/>
      <c r="U11" s="3"/>
      <c r="V11" s="3"/>
      <c r="W11" s="3"/>
      <c r="X11" s="3"/>
      <c r="Y11" s="3"/>
      <c r="Z11" s="3"/>
      <c r="AA11" s="3"/>
      <c r="AB11" s="3"/>
      <c r="AC11" s="3"/>
      <c r="AD11" s="3"/>
      <c r="AE11" s="3"/>
      <c r="AF11" s="3"/>
      <c r="AG11" s="3"/>
      <c r="AH11" s="3"/>
      <c r="AI11" s="3"/>
      <c r="AJ11" s="3"/>
    </row>
    <row r="12" spans="1:38" x14ac:dyDescent="0.3">
      <c r="A12" s="28" t="s">
        <v>76</v>
      </c>
      <c r="B12" s="29">
        <v>34000000</v>
      </c>
      <c r="C12" s="3"/>
      <c r="D12" s="2"/>
      <c r="E12" s="3"/>
      <c r="F12" s="3"/>
      <c r="G12" s="2"/>
      <c r="H12" s="2"/>
      <c r="I12" s="2"/>
      <c r="J12" s="2"/>
      <c r="K12" s="3"/>
      <c r="L12" s="3"/>
      <c r="M12" s="3"/>
      <c r="N12" s="3"/>
      <c r="O12" s="3"/>
      <c r="P12" s="3"/>
      <c r="Q12" s="3"/>
      <c r="R12" s="3"/>
      <c r="S12" s="3"/>
      <c r="T12" s="3"/>
      <c r="U12" s="3"/>
      <c r="V12" s="3"/>
      <c r="W12" s="3"/>
      <c r="X12" s="3"/>
      <c r="Y12" s="3"/>
      <c r="Z12" s="3"/>
      <c r="AA12" s="3"/>
      <c r="AB12" s="3"/>
      <c r="AC12" s="3"/>
      <c r="AD12" s="3"/>
      <c r="AE12" s="3"/>
      <c r="AF12" s="3"/>
      <c r="AG12" s="3"/>
      <c r="AH12" s="3"/>
      <c r="AI12" s="3"/>
      <c r="AJ12" s="3"/>
    </row>
    <row r="13" spans="1:38" x14ac:dyDescent="0.3">
      <c r="A13" s="30" t="s">
        <v>77</v>
      </c>
      <c r="B13" s="31">
        <v>0</v>
      </c>
      <c r="C13" s="3"/>
      <c r="D13" s="2"/>
      <c r="E13" s="3"/>
      <c r="F13" s="3"/>
      <c r="G13" s="2"/>
      <c r="H13" s="2"/>
      <c r="I13" s="2"/>
      <c r="J13" s="2"/>
      <c r="K13" s="3"/>
      <c r="L13" s="3"/>
      <c r="M13" s="3"/>
      <c r="N13" s="3"/>
      <c r="O13" s="3"/>
      <c r="P13" s="3"/>
      <c r="Q13" s="3"/>
      <c r="R13" s="3"/>
      <c r="S13" s="3"/>
      <c r="T13" s="3"/>
      <c r="U13" s="3"/>
      <c r="V13" s="3"/>
      <c r="W13" s="3"/>
      <c r="X13" s="3"/>
      <c r="Y13" s="3"/>
      <c r="Z13" s="3"/>
      <c r="AA13" s="3"/>
      <c r="AB13" s="3"/>
      <c r="AC13" s="3"/>
      <c r="AD13" s="3"/>
      <c r="AE13" s="3"/>
      <c r="AF13" s="3"/>
      <c r="AG13" s="3"/>
      <c r="AH13" s="3"/>
      <c r="AI13" s="3"/>
      <c r="AJ13" s="3"/>
    </row>
    <row r="14" spans="1:38" x14ac:dyDescent="0.3">
      <c r="A14" s="30" t="s">
        <v>78</v>
      </c>
      <c r="B14" s="32">
        <f>B12*(1+B13)</f>
        <v>34000000</v>
      </c>
      <c r="C14" s="3"/>
      <c r="D14" s="2"/>
      <c r="E14" s="3"/>
      <c r="F14" s="3"/>
      <c r="G14" s="2"/>
      <c r="H14" s="2"/>
      <c r="I14" s="2"/>
      <c r="J14" s="2"/>
      <c r="K14" s="3"/>
      <c r="L14" s="3"/>
      <c r="M14" s="3"/>
      <c r="N14" s="3"/>
      <c r="O14" s="3"/>
      <c r="P14" s="3"/>
      <c r="Q14" s="3"/>
      <c r="R14" s="3"/>
      <c r="S14" s="3"/>
      <c r="T14" s="3"/>
      <c r="U14" s="3"/>
      <c r="V14" s="3"/>
      <c r="W14" s="3"/>
      <c r="X14" s="3"/>
      <c r="Y14" s="3"/>
      <c r="Z14" s="3"/>
      <c r="AA14" s="3"/>
      <c r="AB14" s="3"/>
      <c r="AC14" s="3"/>
      <c r="AD14" s="3"/>
      <c r="AE14" s="3"/>
      <c r="AF14" s="3"/>
      <c r="AG14" s="3"/>
      <c r="AH14" s="3"/>
      <c r="AI14" s="3"/>
      <c r="AJ14" s="3"/>
    </row>
    <row r="15" spans="1:38" x14ac:dyDescent="0.3">
      <c r="A15" s="30" t="s">
        <v>79</v>
      </c>
      <c r="B15" s="31">
        <v>0.7</v>
      </c>
      <c r="C15" s="3"/>
      <c r="D15" s="2"/>
      <c r="E15" s="3"/>
      <c r="F15" s="3"/>
      <c r="G15" s="2"/>
      <c r="H15" s="2"/>
      <c r="I15" s="2"/>
      <c r="J15" s="2"/>
      <c r="K15" s="3"/>
      <c r="L15" s="3"/>
      <c r="M15" s="3"/>
      <c r="N15" s="3"/>
      <c r="O15" s="3"/>
      <c r="P15" s="3"/>
      <c r="Q15" s="3"/>
      <c r="R15" s="3"/>
      <c r="S15" s="3"/>
      <c r="T15" s="3"/>
      <c r="U15" s="3"/>
      <c r="V15" s="3"/>
      <c r="W15" s="3"/>
      <c r="X15" s="3"/>
      <c r="Y15" s="3"/>
      <c r="Z15" s="3"/>
      <c r="AA15" s="3"/>
      <c r="AB15" s="3"/>
      <c r="AC15" s="3"/>
      <c r="AD15" s="3"/>
      <c r="AE15" s="3"/>
      <c r="AF15" s="3"/>
      <c r="AG15" s="3"/>
      <c r="AH15" s="3"/>
      <c r="AI15" s="3"/>
      <c r="AJ15" s="3"/>
    </row>
    <row r="16" spans="1:38" ht="16.2" thickBot="1" x14ac:dyDescent="0.35">
      <c r="A16" s="33" t="s">
        <v>80</v>
      </c>
      <c r="B16" s="34">
        <f>B14*B15</f>
        <v>23800000</v>
      </c>
      <c r="C16" s="3"/>
      <c r="D16" s="2"/>
      <c r="E16" s="3"/>
      <c r="F16" s="3"/>
      <c r="G16" s="2"/>
      <c r="H16" s="2"/>
      <c r="I16" s="2"/>
      <c r="J16" s="2"/>
      <c r="K16" s="3"/>
      <c r="L16" s="3"/>
      <c r="M16" s="3"/>
      <c r="N16" s="3"/>
      <c r="O16" s="3"/>
      <c r="P16" s="3"/>
      <c r="Q16" s="3"/>
      <c r="R16" s="3"/>
      <c r="S16" s="3"/>
      <c r="T16" s="3"/>
      <c r="U16" s="3"/>
      <c r="V16" s="3"/>
      <c r="W16" s="3"/>
      <c r="X16" s="3"/>
      <c r="Y16" s="3"/>
      <c r="Z16" s="3"/>
      <c r="AA16" s="3"/>
      <c r="AB16" s="3"/>
      <c r="AC16" s="3"/>
      <c r="AD16" s="3"/>
      <c r="AE16" s="3"/>
      <c r="AF16" s="3"/>
      <c r="AG16" s="3"/>
      <c r="AH16" s="3"/>
      <c r="AI16" s="3"/>
      <c r="AJ16" s="3"/>
    </row>
    <row r="17" spans="1:38" ht="16.2" thickBot="1" x14ac:dyDescent="0.35">
      <c r="A17" s="39" t="s">
        <v>81</v>
      </c>
      <c r="B17" s="44">
        <f>MAX(0,(B12*B15)-B16)</f>
        <v>0</v>
      </c>
      <c r="C17" s="3"/>
      <c r="D17" s="2"/>
      <c r="E17" s="3"/>
      <c r="F17" s="3"/>
      <c r="G17" s="2"/>
      <c r="H17" s="2"/>
      <c r="I17" s="2"/>
      <c r="J17" s="2"/>
      <c r="K17" s="3"/>
      <c r="L17" s="3"/>
      <c r="M17" s="3"/>
      <c r="N17" s="3"/>
      <c r="O17" s="3"/>
      <c r="P17" s="3"/>
      <c r="Q17" s="3"/>
      <c r="R17" s="3"/>
      <c r="S17" s="3"/>
      <c r="T17" s="3"/>
      <c r="U17" s="3"/>
      <c r="V17" s="3"/>
      <c r="W17" s="3"/>
      <c r="X17" s="3"/>
      <c r="Y17" s="3"/>
      <c r="Z17" s="3"/>
      <c r="AA17" s="3"/>
      <c r="AB17" s="3"/>
      <c r="AC17" s="3"/>
      <c r="AD17" s="3"/>
      <c r="AE17" s="3"/>
      <c r="AF17" s="3"/>
      <c r="AG17" s="3"/>
      <c r="AH17" s="3"/>
      <c r="AI17" s="3"/>
      <c r="AJ17" s="3"/>
    </row>
    <row r="18" spans="1:38" x14ac:dyDescent="0.3">
      <c r="A18" s="28" t="s">
        <v>82</v>
      </c>
      <c r="B18" s="35">
        <v>0.05</v>
      </c>
      <c r="C18" s="3"/>
      <c r="D18" s="2"/>
      <c r="E18" s="3"/>
      <c r="F18" s="3"/>
      <c r="G18" s="2"/>
      <c r="H18" s="2"/>
      <c r="I18" s="2"/>
      <c r="J18" s="2"/>
      <c r="K18" s="3"/>
      <c r="L18" s="3"/>
      <c r="M18" s="3"/>
      <c r="N18" s="3"/>
      <c r="O18" s="3"/>
      <c r="P18" s="3"/>
      <c r="Q18" s="3"/>
      <c r="R18" s="3"/>
      <c r="S18" s="3"/>
      <c r="T18" s="3"/>
      <c r="U18" s="3"/>
      <c r="V18" s="3"/>
      <c r="W18" s="3"/>
      <c r="X18" s="3"/>
      <c r="Y18" s="3"/>
      <c r="Z18" s="3"/>
      <c r="AA18" s="3"/>
      <c r="AB18" s="3"/>
      <c r="AC18" s="3"/>
      <c r="AD18" s="3"/>
      <c r="AE18" s="3"/>
      <c r="AF18" s="3"/>
      <c r="AG18" s="3"/>
      <c r="AH18" s="3"/>
      <c r="AI18" s="3"/>
      <c r="AJ18" s="3"/>
    </row>
    <row r="19" spans="1:38" x14ac:dyDescent="0.3">
      <c r="A19" s="30" t="s">
        <v>83</v>
      </c>
      <c r="B19" s="32">
        <f>B16*B18</f>
        <v>1190000</v>
      </c>
      <c r="C19" s="3"/>
      <c r="D19" s="2"/>
      <c r="E19" s="3"/>
      <c r="F19" s="3"/>
      <c r="G19" s="2"/>
      <c r="H19" s="2"/>
      <c r="I19" s="2"/>
      <c r="J19" s="2"/>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8" x14ac:dyDescent="0.3">
      <c r="A20" s="30" t="s">
        <v>84</v>
      </c>
      <c r="B20" s="36">
        <v>2098105</v>
      </c>
      <c r="C20" s="3"/>
      <c r="D20" s="2"/>
      <c r="E20" s="3"/>
      <c r="F20" s="3"/>
      <c r="G20" s="2"/>
      <c r="H20" s="2"/>
      <c r="I20" s="2"/>
      <c r="J20" s="2"/>
      <c r="K20" s="3"/>
      <c r="L20" s="3"/>
      <c r="M20" s="3"/>
      <c r="N20" s="3"/>
      <c r="O20" s="3"/>
      <c r="P20" s="3"/>
      <c r="Q20" s="3"/>
      <c r="R20" s="3"/>
      <c r="S20" s="3"/>
      <c r="T20" s="3"/>
      <c r="U20" s="3"/>
      <c r="V20" s="3"/>
      <c r="W20" s="3"/>
      <c r="X20" s="3"/>
      <c r="Y20" s="3"/>
      <c r="Z20" s="3"/>
      <c r="AA20" s="3"/>
      <c r="AB20" s="3"/>
      <c r="AC20" s="3"/>
      <c r="AD20" s="3"/>
      <c r="AE20" s="3"/>
      <c r="AF20" s="3"/>
      <c r="AG20" s="3"/>
      <c r="AH20" s="3"/>
      <c r="AI20" s="3"/>
      <c r="AJ20" s="3"/>
    </row>
    <row r="21" spans="1:38" x14ac:dyDescent="0.3">
      <c r="A21" s="30" t="s">
        <v>85</v>
      </c>
      <c r="B21" s="31">
        <v>0.3</v>
      </c>
      <c r="C21" s="3"/>
      <c r="D21" s="2"/>
      <c r="E21" s="3"/>
      <c r="F21" s="3"/>
      <c r="G21" s="2"/>
      <c r="H21" s="2"/>
      <c r="I21" s="2"/>
      <c r="J21" s="2"/>
      <c r="K21" s="3"/>
      <c r="L21" s="3"/>
      <c r="M21" s="3"/>
      <c r="N21" s="3"/>
      <c r="O21" s="3"/>
      <c r="P21" s="3"/>
      <c r="Q21" s="3"/>
      <c r="R21" s="3"/>
      <c r="S21" s="3"/>
      <c r="T21" s="3"/>
      <c r="U21" s="3"/>
      <c r="V21" s="3"/>
      <c r="W21" s="3"/>
      <c r="X21" s="3"/>
      <c r="Y21" s="3"/>
      <c r="Z21" s="3"/>
      <c r="AA21" s="3"/>
      <c r="AB21" s="3"/>
      <c r="AC21" s="3"/>
      <c r="AD21" s="3"/>
      <c r="AE21" s="3"/>
      <c r="AF21" s="3"/>
      <c r="AG21" s="3"/>
      <c r="AH21" s="3"/>
      <c r="AI21" s="3"/>
      <c r="AJ21" s="3"/>
    </row>
    <row r="22" spans="1:38" ht="16.2" thickBot="1" x14ac:dyDescent="0.35">
      <c r="A22" s="37" t="s">
        <v>86</v>
      </c>
      <c r="B22" s="38">
        <f>B20*B21</f>
        <v>629431.5</v>
      </c>
      <c r="C22" s="3"/>
      <c r="D22" s="2"/>
      <c r="E22" s="3"/>
      <c r="F22" s="3"/>
      <c r="G22" s="2"/>
      <c r="H22" s="2"/>
      <c r="I22" s="2"/>
      <c r="J22" s="2"/>
      <c r="K22" s="3"/>
      <c r="L22" s="3"/>
      <c r="M22" s="3"/>
      <c r="N22" s="3"/>
      <c r="O22" s="3"/>
      <c r="P22" s="3"/>
      <c r="Q22" s="3"/>
      <c r="R22" s="3"/>
      <c r="S22" s="3"/>
      <c r="T22" s="3"/>
      <c r="U22" s="3"/>
      <c r="V22" s="3"/>
      <c r="W22" s="3"/>
      <c r="X22" s="3"/>
      <c r="Y22" s="3"/>
      <c r="Z22" s="3"/>
      <c r="AA22" s="3"/>
      <c r="AB22" s="3"/>
      <c r="AC22" s="3"/>
      <c r="AD22" s="3"/>
      <c r="AE22" s="3"/>
      <c r="AF22" s="3"/>
      <c r="AG22" s="3"/>
      <c r="AH22" s="3"/>
      <c r="AI22" s="3"/>
      <c r="AJ22" s="3"/>
    </row>
    <row r="23" spans="1:38" ht="16.2" thickBot="1" x14ac:dyDescent="0.35">
      <c r="A23" s="39" t="s">
        <v>87</v>
      </c>
      <c r="B23" s="44">
        <f>B20 - B19 - B22</f>
        <v>278673.5</v>
      </c>
      <c r="C23" s="3"/>
      <c r="D23" s="2"/>
      <c r="E23" s="3"/>
      <c r="F23" s="3"/>
      <c r="G23" s="2"/>
      <c r="H23" s="2"/>
      <c r="I23" s="2"/>
      <c r="J23" s="2"/>
      <c r="K23" s="3"/>
      <c r="L23" s="3"/>
      <c r="M23" s="3"/>
      <c r="N23" s="3"/>
      <c r="O23" s="3"/>
      <c r="P23" s="3"/>
      <c r="Q23" s="3"/>
      <c r="R23" s="3"/>
      <c r="S23" s="3"/>
      <c r="T23" s="3"/>
      <c r="U23" s="3"/>
      <c r="V23" s="3"/>
      <c r="W23" s="3"/>
      <c r="X23" s="3"/>
      <c r="Y23" s="3"/>
      <c r="Z23" s="3"/>
      <c r="AA23" s="3"/>
      <c r="AB23" s="3"/>
      <c r="AC23" s="3"/>
      <c r="AD23" s="3"/>
      <c r="AE23" s="3"/>
      <c r="AF23" s="3"/>
      <c r="AG23" s="3"/>
      <c r="AH23" s="3"/>
      <c r="AI23" s="3"/>
      <c r="AJ23" s="3"/>
    </row>
    <row r="24" spans="1:38" ht="16.2" thickBot="1" x14ac:dyDescent="0.35">
      <c r="A24" s="3"/>
      <c r="C24" s="3"/>
      <c r="E24" s="3"/>
      <c r="F24" s="2"/>
      <c r="G24" s="3"/>
      <c r="H24" s="3"/>
      <c r="I24" s="3"/>
      <c r="J24" s="3"/>
      <c r="K24" s="2"/>
      <c r="L24" s="2"/>
      <c r="M24" s="3"/>
      <c r="N24" s="3"/>
      <c r="O24" s="3"/>
      <c r="P24" s="3"/>
      <c r="Q24" s="3"/>
      <c r="R24" s="3"/>
      <c r="S24" s="3"/>
      <c r="T24" s="3"/>
      <c r="U24" s="3"/>
      <c r="V24" s="3"/>
      <c r="W24" s="3"/>
      <c r="X24" s="3"/>
      <c r="Y24" s="3"/>
      <c r="Z24" s="3"/>
      <c r="AA24" s="3"/>
      <c r="AB24" s="3"/>
      <c r="AC24" s="3"/>
      <c r="AD24" s="3"/>
      <c r="AE24" s="3"/>
      <c r="AF24" s="3"/>
      <c r="AG24" s="3"/>
      <c r="AH24" s="3"/>
      <c r="AI24" s="3"/>
      <c r="AJ24" s="3"/>
      <c r="AK24" s="3"/>
      <c r="AL24" s="3"/>
    </row>
    <row r="25" spans="1:38" ht="16.2" thickBot="1" x14ac:dyDescent="0.35">
      <c r="A25" s="45" t="s">
        <v>60</v>
      </c>
      <c r="B25" s="46" t="s">
        <v>61</v>
      </c>
      <c r="C25" s="3"/>
      <c r="D25" s="2"/>
      <c r="E25" s="3"/>
      <c r="F25" s="3"/>
      <c r="G25" s="2"/>
      <c r="H25" s="2"/>
      <c r="I25" s="2"/>
      <c r="J25" s="2"/>
      <c r="K25" s="3"/>
      <c r="L25" s="3"/>
      <c r="M25" s="3"/>
      <c r="N25" s="3"/>
      <c r="O25" s="3"/>
      <c r="P25" s="3"/>
      <c r="Q25" s="3"/>
      <c r="R25" s="3"/>
      <c r="S25" s="3"/>
      <c r="T25" s="3"/>
      <c r="U25" s="3"/>
      <c r="V25" s="3"/>
      <c r="W25" s="3"/>
      <c r="X25" s="3"/>
      <c r="Y25" s="3"/>
      <c r="Z25" s="3"/>
      <c r="AA25" s="3"/>
      <c r="AB25" s="3"/>
      <c r="AC25" s="3"/>
      <c r="AD25" s="3"/>
      <c r="AE25" s="3"/>
      <c r="AF25" s="3"/>
      <c r="AG25" s="3"/>
      <c r="AH25" s="3"/>
      <c r="AI25" s="3"/>
      <c r="AJ25" s="3"/>
    </row>
    <row r="26" spans="1:38" x14ac:dyDescent="0.3">
      <c r="A26" s="13" t="s">
        <v>62</v>
      </c>
      <c r="B26" s="14">
        <v>34000000</v>
      </c>
      <c r="C26" s="3"/>
      <c r="D26" s="2"/>
      <c r="E26" s="3"/>
      <c r="F26" s="3"/>
      <c r="G26" s="2"/>
      <c r="H26" s="2"/>
      <c r="I26" s="2"/>
      <c r="J26" s="2"/>
      <c r="K26" s="3"/>
      <c r="L26" s="3"/>
      <c r="M26" s="3"/>
      <c r="N26" s="3"/>
      <c r="O26" s="3"/>
      <c r="P26" s="3"/>
      <c r="Q26" s="3"/>
      <c r="R26" s="3"/>
      <c r="S26" s="3"/>
      <c r="T26" s="3"/>
      <c r="U26" s="3"/>
      <c r="V26" s="3"/>
      <c r="W26" s="3"/>
      <c r="X26" s="3"/>
      <c r="Y26" s="3"/>
      <c r="Z26" s="3"/>
      <c r="AA26" s="3"/>
      <c r="AB26" s="3"/>
      <c r="AC26" s="3"/>
      <c r="AD26" s="3"/>
      <c r="AE26" s="3"/>
      <c r="AF26" s="3"/>
      <c r="AG26" s="3"/>
      <c r="AH26" s="3"/>
      <c r="AI26" s="3"/>
      <c r="AJ26" s="3"/>
    </row>
    <row r="27" spans="1:38" x14ac:dyDescent="0.3">
      <c r="A27" s="15" t="s">
        <v>63</v>
      </c>
      <c r="B27" s="16">
        <v>0.04</v>
      </c>
      <c r="C27" s="3"/>
      <c r="D27" s="2"/>
      <c r="E27" s="3"/>
      <c r="F27" s="3"/>
      <c r="G27" s="2"/>
      <c r="H27" s="2"/>
      <c r="I27" s="2"/>
      <c r="J27" s="2"/>
      <c r="K27" s="3"/>
      <c r="L27" s="3"/>
      <c r="M27" s="3"/>
      <c r="N27" s="3"/>
      <c r="O27" s="3"/>
      <c r="P27" s="3"/>
      <c r="Q27" s="3"/>
      <c r="R27" s="3"/>
      <c r="S27" s="3"/>
      <c r="T27" s="3"/>
      <c r="U27" s="3"/>
      <c r="V27" s="3"/>
      <c r="W27" s="3"/>
      <c r="X27" s="3"/>
      <c r="Y27" s="3"/>
      <c r="Z27" s="3"/>
      <c r="AA27" s="3"/>
      <c r="AB27" s="3"/>
      <c r="AC27" s="3"/>
      <c r="AD27" s="3"/>
      <c r="AE27" s="3"/>
      <c r="AF27" s="3"/>
      <c r="AG27" s="3"/>
      <c r="AH27" s="3"/>
      <c r="AI27" s="3"/>
      <c r="AJ27" s="3"/>
    </row>
    <row r="28" spans="1:38" ht="16.2" thickBot="1" x14ac:dyDescent="0.35">
      <c r="A28" s="17" t="s">
        <v>64</v>
      </c>
      <c r="B28" s="18">
        <v>10</v>
      </c>
      <c r="C28" s="3"/>
      <c r="D28" s="2"/>
      <c r="E28" s="3"/>
      <c r="F28" s="3"/>
      <c r="G28" s="2"/>
      <c r="H28" s="2"/>
      <c r="I28" s="2"/>
      <c r="J28" s="2"/>
      <c r="K28" s="3"/>
      <c r="L28" s="3"/>
      <c r="M28" s="3"/>
      <c r="N28" s="3"/>
      <c r="O28" s="3"/>
      <c r="P28" s="3"/>
      <c r="Q28" s="3"/>
      <c r="R28" s="3"/>
      <c r="S28" s="3"/>
      <c r="T28" s="3"/>
      <c r="U28" s="3"/>
      <c r="V28" s="3"/>
      <c r="W28" s="3"/>
      <c r="X28" s="3"/>
      <c r="Y28" s="3"/>
      <c r="Z28" s="3"/>
      <c r="AA28" s="3"/>
      <c r="AB28" s="3"/>
      <c r="AC28" s="3"/>
      <c r="AD28" s="3"/>
      <c r="AE28" s="3"/>
      <c r="AF28" s="3"/>
      <c r="AG28" s="3"/>
      <c r="AH28" s="3"/>
      <c r="AI28" s="3"/>
      <c r="AJ28" s="3"/>
    </row>
    <row r="29" spans="1:38" ht="16.2" thickBot="1" x14ac:dyDescent="0.35">
      <c r="A29" s="19" t="s">
        <v>65</v>
      </c>
      <c r="B29" s="20">
        <f>B26 * (1 + B27)^B28</f>
        <v>50328305.687223718</v>
      </c>
      <c r="C29" s="3"/>
      <c r="D29" s="2"/>
      <c r="E29" s="3"/>
      <c r="F29" s="3"/>
      <c r="G29" s="2"/>
      <c r="H29" s="2"/>
      <c r="I29" s="2"/>
      <c r="J29" s="2"/>
      <c r="K29" s="3"/>
      <c r="L29" s="3"/>
      <c r="M29" s="3"/>
      <c r="N29" s="3"/>
      <c r="O29" s="3"/>
      <c r="P29" s="3"/>
      <c r="Q29" s="3"/>
      <c r="R29" s="3"/>
      <c r="S29" s="3"/>
      <c r="T29" s="3"/>
      <c r="U29" s="3"/>
      <c r="V29" s="3"/>
      <c r="W29" s="3"/>
      <c r="X29" s="3"/>
      <c r="Y29" s="3"/>
      <c r="Z29" s="3"/>
      <c r="AA29" s="3"/>
      <c r="AB29" s="3"/>
      <c r="AC29" s="3"/>
      <c r="AD29" s="3"/>
      <c r="AE29" s="3"/>
      <c r="AF29" s="3"/>
      <c r="AG29" s="3"/>
      <c r="AH29" s="3"/>
      <c r="AI29" s="3"/>
      <c r="AJ29" s="3"/>
    </row>
    <row r="30" spans="1:38" ht="16.2" thickBot="1" x14ac:dyDescent="0.35">
      <c r="A30" s="21"/>
      <c r="B30" s="22"/>
      <c r="C30" s="3"/>
      <c r="D30" s="2"/>
      <c r="E30" s="3"/>
      <c r="F30" s="3"/>
      <c r="G30" s="2"/>
      <c r="H30" s="2"/>
      <c r="I30" s="2"/>
      <c r="J30" s="2"/>
      <c r="K30" s="3"/>
      <c r="L30" s="3"/>
      <c r="M30" s="3"/>
      <c r="N30" s="3"/>
      <c r="O30" s="3"/>
      <c r="P30" s="3"/>
      <c r="Q30" s="3"/>
      <c r="R30" s="3"/>
      <c r="S30" s="3"/>
      <c r="T30" s="3"/>
      <c r="U30" s="3"/>
      <c r="V30" s="3"/>
      <c r="W30" s="3"/>
      <c r="X30" s="3"/>
      <c r="Y30" s="3"/>
      <c r="Z30" s="3"/>
      <c r="AA30" s="3"/>
      <c r="AB30" s="3"/>
      <c r="AC30" s="3"/>
      <c r="AD30" s="3"/>
      <c r="AE30" s="3"/>
      <c r="AF30" s="3"/>
      <c r="AG30" s="3"/>
      <c r="AH30" s="3"/>
      <c r="AI30" s="3"/>
      <c r="AJ30" s="3"/>
    </row>
    <row r="31" spans="1:38" ht="16.2" thickBot="1" x14ac:dyDescent="0.35">
      <c r="A31" s="45" t="s">
        <v>66</v>
      </c>
      <c r="B31" s="46" t="s">
        <v>61</v>
      </c>
      <c r="C31" s="3"/>
      <c r="D31" s="2"/>
      <c r="E31" s="3"/>
      <c r="F31" s="3"/>
      <c r="G31" s="2"/>
      <c r="H31" s="2"/>
      <c r="I31" s="2"/>
      <c r="J31" s="2"/>
      <c r="K31" s="3"/>
      <c r="L31" s="3"/>
      <c r="M31" s="3"/>
      <c r="N31" s="3"/>
      <c r="O31" s="3"/>
      <c r="P31" s="3"/>
      <c r="Q31" s="3"/>
      <c r="R31" s="3"/>
      <c r="S31" s="3"/>
      <c r="T31" s="3"/>
      <c r="U31" s="3"/>
      <c r="V31" s="3"/>
      <c r="W31" s="3"/>
      <c r="X31" s="3"/>
      <c r="Y31" s="3"/>
      <c r="Z31" s="3"/>
      <c r="AA31" s="3"/>
      <c r="AB31" s="3"/>
      <c r="AC31" s="3"/>
      <c r="AD31" s="3"/>
      <c r="AE31" s="3"/>
      <c r="AF31" s="3"/>
      <c r="AG31" s="3"/>
      <c r="AH31" s="3"/>
      <c r="AI31" s="3"/>
      <c r="AJ31" s="3"/>
    </row>
    <row r="32" spans="1:38" ht="16.2" thickBot="1" x14ac:dyDescent="0.35">
      <c r="A32" s="23" t="s">
        <v>67</v>
      </c>
      <c r="B32" s="24">
        <v>8</v>
      </c>
      <c r="C32" s="3"/>
      <c r="D32" s="2"/>
      <c r="E32" s="3"/>
      <c r="F32" s="3"/>
      <c r="G32" s="2"/>
      <c r="H32" s="2"/>
      <c r="I32" s="2"/>
      <c r="J32" s="2"/>
      <c r="K32" s="3"/>
      <c r="L32" s="3"/>
      <c r="M32" s="3"/>
      <c r="N32" s="3"/>
      <c r="O32" s="3"/>
      <c r="P32" s="3"/>
      <c r="Q32" s="3"/>
      <c r="R32" s="3"/>
      <c r="S32" s="3"/>
      <c r="T32" s="3"/>
      <c r="U32" s="3"/>
      <c r="V32" s="3"/>
      <c r="W32" s="3"/>
      <c r="X32" s="3"/>
      <c r="Y32" s="3"/>
      <c r="Z32" s="3"/>
      <c r="AA32" s="3"/>
      <c r="AB32" s="3"/>
      <c r="AC32" s="3"/>
      <c r="AD32" s="3"/>
      <c r="AE32" s="3"/>
      <c r="AF32" s="3"/>
      <c r="AG32" s="3"/>
      <c r="AH32" s="3"/>
      <c r="AI32" s="3"/>
      <c r="AJ32" s="3"/>
    </row>
    <row r="33" spans="1:36" ht="16.2" thickBot="1" x14ac:dyDescent="0.35">
      <c r="A33" s="41" t="s">
        <v>68</v>
      </c>
      <c r="B33" s="42">
        <f>72/B32</f>
        <v>9</v>
      </c>
      <c r="C33" s="3"/>
      <c r="D33" s="2"/>
      <c r="E33" s="3"/>
      <c r="F33" s="3"/>
      <c r="G33" s="2"/>
      <c r="H33" s="2"/>
      <c r="I33" s="2"/>
      <c r="J33" s="2"/>
      <c r="K33" s="3"/>
      <c r="L33" s="3"/>
      <c r="M33" s="3"/>
      <c r="N33" s="3"/>
      <c r="O33" s="3"/>
      <c r="P33" s="3"/>
      <c r="Q33" s="3"/>
      <c r="R33" s="3"/>
      <c r="S33" s="3"/>
      <c r="T33" s="3"/>
      <c r="U33" s="3"/>
      <c r="V33" s="3"/>
      <c r="W33" s="3"/>
      <c r="X33" s="3"/>
      <c r="Y33" s="3"/>
      <c r="Z33" s="3"/>
      <c r="AA33" s="3"/>
      <c r="AB33" s="3"/>
      <c r="AC33" s="3"/>
      <c r="AD33" s="3"/>
      <c r="AE33" s="3"/>
      <c r="AF33" s="3"/>
      <c r="AG33" s="3"/>
      <c r="AH33" s="3"/>
      <c r="AI33" s="3"/>
      <c r="AJ33" s="3"/>
    </row>
    <row r="34" spans="1:36" ht="16.2" thickBot="1" x14ac:dyDescent="0.35">
      <c r="A34" s="3"/>
      <c r="B34" s="2"/>
      <c r="C34" s="3"/>
      <c r="D34" s="2"/>
      <c r="E34" s="3"/>
      <c r="F34" s="3"/>
      <c r="G34" s="2"/>
      <c r="H34" s="2"/>
      <c r="I34" s="2"/>
      <c r="J34" s="2"/>
      <c r="K34" s="3"/>
      <c r="L34" s="3"/>
      <c r="M34" s="3"/>
      <c r="N34" s="3"/>
      <c r="O34" s="3"/>
      <c r="P34" s="3"/>
      <c r="Q34" s="3"/>
      <c r="R34" s="3"/>
      <c r="S34" s="3"/>
      <c r="T34" s="3"/>
      <c r="U34" s="3"/>
      <c r="V34" s="3"/>
      <c r="W34" s="3"/>
      <c r="X34" s="3"/>
      <c r="Y34" s="3"/>
      <c r="Z34" s="3"/>
      <c r="AA34" s="3"/>
      <c r="AB34" s="3"/>
      <c r="AC34" s="3"/>
      <c r="AD34" s="3"/>
      <c r="AE34" s="3"/>
      <c r="AF34" s="3"/>
      <c r="AG34" s="3"/>
      <c r="AH34" s="3"/>
      <c r="AI34" s="3"/>
      <c r="AJ34" s="3"/>
    </row>
    <row r="35" spans="1:36" ht="16.2" thickBot="1" x14ac:dyDescent="0.35">
      <c r="A35" s="48" t="s">
        <v>96</v>
      </c>
      <c r="B35" s="49"/>
      <c r="C35" s="3"/>
      <c r="D35" s="2"/>
      <c r="E35" s="3"/>
      <c r="F35" s="3"/>
      <c r="G35" s="2"/>
      <c r="H35" s="2"/>
      <c r="I35" s="2"/>
      <c r="J35" s="2"/>
      <c r="K35" s="3"/>
      <c r="L35" s="3"/>
      <c r="M35" s="3"/>
      <c r="N35" s="3"/>
      <c r="O35" s="3"/>
      <c r="P35" s="3"/>
      <c r="Q35" s="3"/>
      <c r="R35" s="3"/>
      <c r="S35" s="3"/>
      <c r="T35" s="3"/>
      <c r="U35" s="3"/>
      <c r="V35" s="3"/>
      <c r="W35" s="3"/>
      <c r="X35" s="3"/>
      <c r="Y35" s="3"/>
      <c r="Z35" s="3"/>
      <c r="AA35" s="3"/>
      <c r="AB35" s="3"/>
      <c r="AC35" s="3"/>
      <c r="AD35" s="3"/>
      <c r="AE35" s="3"/>
      <c r="AF35" s="3"/>
      <c r="AG35" s="3"/>
      <c r="AH35" s="3"/>
      <c r="AI35" s="3"/>
      <c r="AJ35" s="3"/>
    </row>
    <row r="36" spans="1:36" ht="16.2" thickBot="1" x14ac:dyDescent="0.35">
      <c r="A36" s="52" t="s">
        <v>97</v>
      </c>
      <c r="B36" s="53">
        <v>0.1</v>
      </c>
      <c r="C36" s="3"/>
      <c r="D36" s="2"/>
      <c r="E36" s="3"/>
      <c r="F36" s="3"/>
      <c r="G36" s="2"/>
      <c r="H36" s="2"/>
      <c r="I36" s="2"/>
      <c r="J36" s="2"/>
      <c r="K36" s="3"/>
      <c r="L36" s="3"/>
      <c r="M36" s="3"/>
      <c r="N36" s="3"/>
      <c r="O36" s="3"/>
      <c r="P36" s="3"/>
      <c r="Q36" s="3"/>
      <c r="R36" s="3"/>
      <c r="S36" s="3"/>
      <c r="T36" s="3"/>
      <c r="U36" s="3"/>
      <c r="V36" s="3"/>
      <c r="W36" s="3"/>
      <c r="X36" s="3"/>
      <c r="Y36" s="3"/>
      <c r="Z36" s="3"/>
      <c r="AA36" s="3"/>
      <c r="AB36" s="3"/>
      <c r="AC36" s="3"/>
      <c r="AD36" s="3"/>
      <c r="AE36" s="3"/>
      <c r="AF36" s="3"/>
      <c r="AG36" s="3"/>
      <c r="AH36" s="3"/>
      <c r="AI36" s="3"/>
      <c r="AJ36" s="3"/>
    </row>
    <row r="37" spans="1:36" ht="16.2" thickBot="1" x14ac:dyDescent="0.35">
      <c r="A37" s="52" t="s">
        <v>98</v>
      </c>
      <c r="B37" s="53">
        <v>0.2</v>
      </c>
      <c r="C37" s="3"/>
      <c r="D37" s="2"/>
      <c r="E37" s="3"/>
      <c r="F37" s="3"/>
      <c r="G37" s="2"/>
      <c r="H37" s="2"/>
      <c r="I37" s="2"/>
      <c r="J37" s="2"/>
      <c r="K37" s="3"/>
      <c r="L37" s="3"/>
      <c r="M37" s="3"/>
      <c r="N37" s="3"/>
      <c r="O37" s="3"/>
      <c r="P37" s="3"/>
      <c r="Q37" s="3"/>
      <c r="R37" s="3"/>
      <c r="S37" s="3"/>
      <c r="T37" s="3"/>
      <c r="U37" s="3"/>
      <c r="V37" s="3"/>
      <c r="W37" s="3"/>
      <c r="X37" s="3"/>
      <c r="Y37" s="3"/>
      <c r="Z37" s="3"/>
      <c r="AA37" s="3"/>
      <c r="AB37" s="3"/>
      <c r="AC37" s="3"/>
      <c r="AD37" s="3"/>
      <c r="AE37" s="3"/>
      <c r="AF37" s="3"/>
      <c r="AG37" s="3"/>
      <c r="AH37" s="3"/>
      <c r="AI37" s="3"/>
      <c r="AJ37" s="3"/>
    </row>
    <row r="38" spans="1:36" ht="16.2" thickBot="1" x14ac:dyDescent="0.35">
      <c r="A38" s="52" t="s">
        <v>99</v>
      </c>
      <c r="B38" s="53">
        <v>0.45</v>
      </c>
      <c r="C38" s="3"/>
      <c r="D38" s="2"/>
      <c r="E38" s="3"/>
      <c r="F38" s="3"/>
      <c r="G38" s="2"/>
      <c r="H38" s="2"/>
      <c r="I38" s="2"/>
      <c r="J38" s="2"/>
      <c r="K38" s="3"/>
      <c r="L38" s="3"/>
      <c r="M38" s="3"/>
      <c r="N38" s="3"/>
      <c r="O38" s="3"/>
      <c r="P38" s="3"/>
      <c r="Q38" s="3"/>
      <c r="R38" s="3"/>
      <c r="S38" s="3"/>
      <c r="T38" s="3"/>
      <c r="U38" s="3"/>
      <c r="V38" s="3"/>
      <c r="W38" s="3"/>
      <c r="X38" s="3"/>
      <c r="Y38" s="3"/>
      <c r="Z38" s="3"/>
      <c r="AA38" s="3"/>
      <c r="AB38" s="3"/>
      <c r="AC38" s="3"/>
      <c r="AD38" s="3"/>
      <c r="AE38" s="3"/>
      <c r="AF38" s="3"/>
      <c r="AG38" s="3"/>
      <c r="AH38" s="3"/>
      <c r="AI38" s="3"/>
      <c r="AJ38" s="3"/>
    </row>
    <row r="39" spans="1:36" ht="16.2" thickBot="1" x14ac:dyDescent="0.35">
      <c r="A39" s="52" t="s">
        <v>100</v>
      </c>
      <c r="B39" s="53">
        <v>0.13</v>
      </c>
      <c r="C39" s="3"/>
      <c r="D39" s="2"/>
      <c r="E39" s="3"/>
      <c r="F39" s="3"/>
      <c r="G39" s="2"/>
      <c r="H39" s="2"/>
      <c r="I39" s="2"/>
      <c r="J39" s="2"/>
      <c r="K39" s="3"/>
      <c r="L39" s="3"/>
      <c r="M39" s="3"/>
      <c r="N39" s="3"/>
      <c r="O39" s="3"/>
      <c r="P39" s="3"/>
      <c r="Q39" s="3"/>
      <c r="R39" s="3"/>
      <c r="S39" s="3"/>
      <c r="T39" s="3"/>
      <c r="U39" s="3"/>
      <c r="V39" s="3"/>
      <c r="W39" s="3"/>
      <c r="X39" s="3"/>
      <c r="Y39" s="3"/>
      <c r="Z39" s="3"/>
      <c r="AA39" s="3"/>
      <c r="AB39" s="3"/>
      <c r="AC39" s="3"/>
      <c r="AD39" s="3"/>
      <c r="AE39" s="3"/>
      <c r="AF39" s="3"/>
      <c r="AG39" s="3"/>
      <c r="AH39" s="3"/>
      <c r="AI39" s="3"/>
      <c r="AJ39" s="3"/>
    </row>
    <row r="40" spans="1:36" ht="16.2" thickBot="1" x14ac:dyDescent="0.35">
      <c r="A40" s="50" t="s">
        <v>101</v>
      </c>
      <c r="B40" s="51">
        <f>100%-(B36+B37+B38+B39)</f>
        <v>0.12</v>
      </c>
      <c r="C40" s="3"/>
      <c r="D40" s="2"/>
      <c r="E40" s="3"/>
      <c r="F40" s="3"/>
      <c r="G40" s="2"/>
      <c r="H40" s="2"/>
      <c r="I40" s="2"/>
      <c r="J40" s="2"/>
      <c r="K40" s="3"/>
      <c r="L40" s="3"/>
      <c r="M40" s="3"/>
      <c r="N40" s="3"/>
      <c r="O40" s="3"/>
      <c r="P40" s="3"/>
      <c r="Q40" s="3"/>
      <c r="R40" s="3"/>
      <c r="S40" s="3"/>
      <c r="T40" s="3"/>
      <c r="U40" s="3"/>
      <c r="V40" s="3"/>
      <c r="W40" s="3"/>
      <c r="X40" s="3"/>
      <c r="Y40" s="3"/>
      <c r="Z40" s="3"/>
      <c r="AA40" s="3"/>
      <c r="AB40" s="3"/>
      <c r="AC40" s="3"/>
      <c r="AD40" s="3"/>
      <c r="AE40" s="3"/>
      <c r="AF40" s="3"/>
      <c r="AG40" s="3"/>
      <c r="AH40" s="3"/>
      <c r="AI40" s="3"/>
      <c r="AJ40" s="3"/>
    </row>
    <row r="41" spans="1:36" x14ac:dyDescent="0.3">
      <c r="A41" s="3"/>
      <c r="B41" s="2"/>
      <c r="C41" s="3"/>
      <c r="D41" s="2"/>
      <c r="E41" s="3"/>
      <c r="F41" s="3"/>
      <c r="G41" s="2"/>
      <c r="H41" s="2"/>
      <c r="I41" s="2"/>
      <c r="J41" s="2"/>
      <c r="K41" s="3"/>
      <c r="L41" s="3"/>
      <c r="M41" s="3"/>
      <c r="N41" s="3"/>
      <c r="O41" s="3"/>
      <c r="P41" s="3"/>
      <c r="Q41" s="3"/>
      <c r="R41" s="3"/>
      <c r="S41" s="3"/>
      <c r="T41" s="3"/>
      <c r="U41" s="3"/>
      <c r="V41" s="3"/>
      <c r="W41" s="3"/>
      <c r="X41" s="3"/>
      <c r="Y41" s="3"/>
      <c r="Z41" s="3"/>
      <c r="AA41" s="3"/>
      <c r="AB41" s="3"/>
      <c r="AC41" s="3"/>
      <c r="AD41" s="3"/>
      <c r="AE41" s="3"/>
      <c r="AF41" s="3"/>
      <c r="AG41" s="3"/>
      <c r="AH41" s="3"/>
      <c r="AI41" s="3"/>
      <c r="AJ41" s="3"/>
    </row>
    <row r="42" spans="1:36" x14ac:dyDescent="0.3">
      <c r="A42" s="3"/>
      <c r="B42" s="2"/>
      <c r="C42" s="3"/>
      <c r="D42" s="2"/>
      <c r="E42" s="3"/>
      <c r="F42" s="3"/>
      <c r="G42" s="2"/>
      <c r="H42" s="2"/>
      <c r="I42" s="2"/>
      <c r="J42" s="2"/>
      <c r="K42" s="3"/>
      <c r="L42" s="3"/>
      <c r="M42" s="3"/>
      <c r="N42" s="3"/>
      <c r="O42" s="3"/>
      <c r="P42" s="3"/>
      <c r="Q42" s="3"/>
      <c r="R42" s="3"/>
      <c r="S42" s="3"/>
      <c r="T42" s="3"/>
      <c r="U42" s="3"/>
      <c r="V42" s="3"/>
      <c r="W42" s="3"/>
      <c r="X42" s="3"/>
      <c r="Y42" s="3"/>
      <c r="Z42" s="3"/>
      <c r="AA42" s="3"/>
      <c r="AB42" s="3"/>
      <c r="AC42" s="3"/>
      <c r="AD42" s="3"/>
      <c r="AE42" s="3"/>
      <c r="AF42" s="3"/>
      <c r="AG42" s="3"/>
      <c r="AH42" s="3"/>
      <c r="AI42" s="3"/>
      <c r="AJ42" s="3"/>
    </row>
    <row r="43" spans="1:36" x14ac:dyDescent="0.3">
      <c r="A43" s="3"/>
      <c r="B43" s="2"/>
      <c r="C43" s="3"/>
      <c r="D43" s="2"/>
      <c r="E43" s="3"/>
      <c r="F43" s="3"/>
      <c r="G43" s="2"/>
      <c r="H43" s="2"/>
      <c r="I43" s="2"/>
      <c r="J43" s="2"/>
      <c r="K43" s="3"/>
      <c r="L43" s="3"/>
      <c r="M43" s="3"/>
      <c r="N43" s="3"/>
      <c r="O43" s="3"/>
      <c r="P43" s="3"/>
      <c r="Q43" s="3"/>
      <c r="R43" s="3"/>
      <c r="S43" s="3"/>
      <c r="T43" s="3"/>
      <c r="U43" s="3"/>
      <c r="V43" s="3"/>
      <c r="W43" s="3"/>
      <c r="X43" s="3"/>
      <c r="Y43" s="3"/>
      <c r="Z43" s="3"/>
      <c r="AA43" s="3"/>
      <c r="AB43" s="3"/>
      <c r="AC43" s="3"/>
      <c r="AD43" s="3"/>
      <c r="AE43" s="3"/>
      <c r="AF43" s="3"/>
      <c r="AG43" s="3"/>
      <c r="AH43" s="3"/>
      <c r="AI43" s="3"/>
      <c r="AJ43" s="3"/>
    </row>
    <row r="44" spans="1:36" x14ac:dyDescent="0.3">
      <c r="A44" s="3"/>
      <c r="B44" s="2"/>
      <c r="C44" s="3"/>
      <c r="D44" s="2"/>
      <c r="E44" s="3"/>
      <c r="F44" s="3"/>
      <c r="G44" s="2"/>
      <c r="H44" s="2"/>
      <c r="I44" s="2"/>
      <c r="J44" s="2"/>
      <c r="K44" s="3"/>
      <c r="L44" s="3"/>
      <c r="M44" s="3"/>
      <c r="N44" s="3"/>
      <c r="O44" s="3"/>
      <c r="P44" s="3"/>
      <c r="Q44" s="3"/>
      <c r="R44" s="3"/>
      <c r="S44" s="3"/>
      <c r="T44" s="3"/>
      <c r="U44" s="3"/>
      <c r="V44" s="3"/>
      <c r="W44" s="3"/>
      <c r="X44" s="3"/>
      <c r="Y44" s="3"/>
      <c r="Z44" s="3"/>
      <c r="AA44" s="3"/>
      <c r="AB44" s="3"/>
      <c r="AC44" s="3"/>
      <c r="AD44" s="3"/>
      <c r="AE44" s="3"/>
      <c r="AF44" s="3"/>
      <c r="AG44" s="3"/>
      <c r="AH44" s="3"/>
      <c r="AI44" s="3"/>
      <c r="AJ44" s="3"/>
    </row>
    <row r="45" spans="1:36" x14ac:dyDescent="0.3">
      <c r="A45" s="3"/>
      <c r="B45" s="2"/>
      <c r="C45" s="3"/>
      <c r="D45" s="2"/>
      <c r="E45" s="3"/>
      <c r="F45" s="3"/>
      <c r="G45" s="2"/>
      <c r="H45" s="2"/>
      <c r="I45" s="2"/>
      <c r="J45" s="2"/>
      <c r="K45" s="3"/>
      <c r="L45" s="3"/>
      <c r="M45" s="3"/>
      <c r="N45" s="3"/>
      <c r="O45" s="3"/>
      <c r="P45" s="3"/>
      <c r="Q45" s="3"/>
      <c r="R45" s="3"/>
      <c r="S45" s="3"/>
      <c r="T45" s="3"/>
      <c r="U45" s="3"/>
      <c r="V45" s="3"/>
      <c r="W45" s="3"/>
      <c r="X45" s="3"/>
      <c r="Y45" s="3"/>
      <c r="Z45" s="3"/>
      <c r="AA45" s="3"/>
      <c r="AB45" s="3"/>
      <c r="AC45" s="3"/>
      <c r="AD45" s="3"/>
      <c r="AE45" s="3"/>
      <c r="AF45" s="3"/>
      <c r="AG45" s="3"/>
      <c r="AH45" s="3"/>
      <c r="AI45" s="3"/>
      <c r="AJ45" s="3"/>
    </row>
    <row r="46" spans="1:36" x14ac:dyDescent="0.3">
      <c r="A46" s="3"/>
      <c r="B46" s="2"/>
      <c r="C46" s="3"/>
      <c r="D46" s="2"/>
      <c r="E46" s="3"/>
      <c r="F46" s="3"/>
      <c r="G46" s="2"/>
      <c r="H46" s="2"/>
      <c r="I46" s="2"/>
      <c r="J46" s="2"/>
      <c r="K46" s="3"/>
      <c r="L46" s="3"/>
      <c r="M46" s="3"/>
      <c r="N46" s="3"/>
      <c r="O46" s="3"/>
      <c r="P46" s="3"/>
      <c r="Q46" s="3"/>
      <c r="R46" s="3"/>
      <c r="S46" s="3"/>
      <c r="T46" s="3"/>
      <c r="U46" s="3"/>
      <c r="V46" s="3"/>
      <c r="W46" s="3"/>
      <c r="X46" s="3"/>
      <c r="Y46" s="3"/>
      <c r="Z46" s="3"/>
      <c r="AA46" s="3"/>
      <c r="AB46" s="3"/>
      <c r="AC46" s="3"/>
      <c r="AD46" s="3"/>
      <c r="AE46" s="3"/>
      <c r="AF46" s="3"/>
      <c r="AG46" s="3"/>
      <c r="AH46" s="3"/>
      <c r="AI46" s="3"/>
      <c r="AJ46" s="3"/>
    </row>
    <row r="47" spans="1:36" x14ac:dyDescent="0.3">
      <c r="A47" s="3"/>
      <c r="B47" s="2"/>
      <c r="C47" s="3"/>
      <c r="D47" s="2"/>
      <c r="E47" s="3"/>
      <c r="F47" s="3"/>
      <c r="G47" s="2"/>
      <c r="H47" s="2"/>
      <c r="I47" s="2"/>
      <c r="J47" s="2"/>
      <c r="K47" s="3"/>
      <c r="L47" s="3"/>
      <c r="M47" s="3"/>
      <c r="N47" s="3"/>
      <c r="O47" s="3"/>
      <c r="P47" s="3"/>
      <c r="Q47" s="3"/>
      <c r="R47" s="3"/>
      <c r="S47" s="3"/>
      <c r="T47" s="3"/>
      <c r="U47" s="3"/>
      <c r="V47" s="3"/>
      <c r="W47" s="3"/>
      <c r="X47" s="3"/>
      <c r="Y47" s="3"/>
      <c r="Z47" s="3"/>
      <c r="AA47" s="3"/>
      <c r="AB47" s="3"/>
      <c r="AC47" s="3"/>
      <c r="AD47" s="3"/>
      <c r="AE47" s="3"/>
      <c r="AF47" s="3"/>
      <c r="AG47" s="3"/>
      <c r="AH47" s="3"/>
      <c r="AI47" s="3"/>
      <c r="AJ47" s="3"/>
    </row>
    <row r="48" spans="1:36" x14ac:dyDescent="0.3">
      <c r="A48" s="3"/>
      <c r="B48" s="2"/>
      <c r="C48" s="3"/>
      <c r="D48" s="2"/>
      <c r="E48" s="3"/>
      <c r="F48" s="3"/>
      <c r="G48" s="2"/>
      <c r="H48" s="2"/>
      <c r="I48" s="2"/>
      <c r="J48" s="2"/>
      <c r="K48" s="3"/>
      <c r="L48" s="3"/>
      <c r="M48" s="3"/>
      <c r="N48" s="3"/>
      <c r="O48" s="3"/>
      <c r="P48" s="3"/>
      <c r="Q48" s="3"/>
      <c r="R48" s="3"/>
      <c r="S48" s="3"/>
      <c r="T48" s="3"/>
      <c r="U48" s="3"/>
      <c r="V48" s="3"/>
      <c r="W48" s="3"/>
      <c r="X48" s="3"/>
      <c r="Y48" s="3"/>
      <c r="Z48" s="3"/>
      <c r="AA48" s="3"/>
      <c r="AB48" s="3"/>
      <c r="AC48" s="3"/>
      <c r="AD48" s="3"/>
      <c r="AE48" s="3"/>
      <c r="AF48" s="3"/>
      <c r="AG48" s="3"/>
      <c r="AH48" s="3"/>
      <c r="AI48" s="3"/>
      <c r="AJ48" s="3"/>
    </row>
    <row r="49" spans="1:36" x14ac:dyDescent="0.3">
      <c r="A49" s="3"/>
      <c r="B49" s="2"/>
      <c r="C49" s="3"/>
      <c r="D49" s="2"/>
      <c r="E49" s="3"/>
      <c r="F49" s="3"/>
      <c r="G49" s="2"/>
      <c r="H49" s="2"/>
      <c r="I49" s="2"/>
      <c r="J49" s="2"/>
      <c r="K49" s="3"/>
      <c r="L49" s="3"/>
      <c r="M49" s="3"/>
      <c r="N49" s="3"/>
      <c r="O49" s="3"/>
      <c r="P49" s="3"/>
      <c r="Q49" s="3"/>
      <c r="R49" s="3"/>
      <c r="S49" s="3"/>
      <c r="T49" s="3"/>
      <c r="U49" s="3"/>
      <c r="V49" s="3"/>
      <c r="W49" s="3"/>
      <c r="X49" s="3"/>
      <c r="Y49" s="3"/>
      <c r="Z49" s="3"/>
      <c r="AA49" s="3"/>
      <c r="AB49" s="3"/>
      <c r="AC49" s="3"/>
      <c r="AD49" s="3"/>
      <c r="AE49" s="3"/>
      <c r="AF49" s="3"/>
      <c r="AG49" s="3"/>
      <c r="AH49" s="3"/>
      <c r="AI49" s="3"/>
      <c r="AJ49" s="3"/>
    </row>
    <row r="50" spans="1:36" x14ac:dyDescent="0.3">
      <c r="A50" s="3"/>
      <c r="B50" s="2"/>
      <c r="C50" s="3"/>
      <c r="D50" s="2"/>
      <c r="E50" s="3"/>
      <c r="F50" s="3"/>
      <c r="G50" s="2"/>
      <c r="H50" s="2"/>
      <c r="I50" s="2"/>
      <c r="J50" s="2"/>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6" x14ac:dyDescent="0.3">
      <c r="A51" s="3"/>
      <c r="B51" s="2"/>
      <c r="C51" s="3"/>
      <c r="D51" s="2"/>
      <c r="E51" s="3"/>
      <c r="F51" s="3"/>
      <c r="G51" s="2"/>
      <c r="H51" s="2"/>
      <c r="I51" s="2"/>
      <c r="J51" s="2"/>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6" x14ac:dyDescent="0.3">
      <c r="A52" s="3"/>
      <c r="B52" s="2"/>
      <c r="C52" s="3"/>
      <c r="D52" s="2"/>
      <c r="E52" s="3"/>
      <c r="F52" s="3"/>
      <c r="G52" s="2"/>
      <c r="H52" s="2"/>
      <c r="I52" s="2"/>
      <c r="J52" s="2"/>
      <c r="K52" s="3"/>
      <c r="L52" s="3"/>
      <c r="M52" s="3"/>
      <c r="N52" s="3"/>
      <c r="O52" s="3"/>
      <c r="P52" s="3"/>
      <c r="Q52" s="3"/>
      <c r="R52" s="3"/>
      <c r="S52" s="3"/>
      <c r="T52" s="3"/>
      <c r="U52" s="3"/>
      <c r="V52" s="3"/>
      <c r="W52" s="3"/>
      <c r="X52" s="3"/>
      <c r="Y52" s="3"/>
      <c r="Z52" s="3"/>
      <c r="AA52" s="3"/>
      <c r="AB52" s="3"/>
      <c r="AC52" s="3"/>
      <c r="AD52" s="3"/>
      <c r="AE52" s="3"/>
      <c r="AF52" s="3"/>
      <c r="AG52" s="3"/>
      <c r="AH52" s="3"/>
      <c r="AI52" s="3"/>
      <c r="AJ52" s="3"/>
    </row>
    <row r="53" spans="1:36" x14ac:dyDescent="0.3">
      <c r="A53" s="3"/>
      <c r="B53" s="2"/>
      <c r="C53" s="3"/>
      <c r="D53" s="2"/>
      <c r="E53" s="3"/>
      <c r="F53" s="3"/>
      <c r="G53" s="2"/>
      <c r="H53" s="2"/>
      <c r="I53" s="2"/>
      <c r="J53" s="2"/>
      <c r="K53" s="3"/>
      <c r="L53" s="3"/>
      <c r="M53" s="3"/>
      <c r="N53" s="3"/>
      <c r="O53" s="3"/>
      <c r="P53" s="3"/>
      <c r="Q53" s="3"/>
      <c r="R53" s="3"/>
      <c r="S53" s="3"/>
      <c r="T53" s="3"/>
      <c r="U53" s="3"/>
      <c r="V53" s="3"/>
      <c r="W53" s="3"/>
      <c r="X53" s="3"/>
      <c r="Y53" s="3"/>
      <c r="Z53" s="3"/>
      <c r="AA53" s="3"/>
      <c r="AB53" s="3"/>
      <c r="AC53" s="3"/>
      <c r="AD53" s="3"/>
      <c r="AE53" s="3"/>
      <c r="AF53" s="3"/>
      <c r="AG53" s="3"/>
      <c r="AH53" s="3"/>
      <c r="AI53" s="3"/>
      <c r="AJ53" s="3"/>
    </row>
    <row r="54" spans="1:36" x14ac:dyDescent="0.3">
      <c r="A54" s="3"/>
      <c r="B54" s="2"/>
      <c r="C54" s="3"/>
      <c r="D54" s="2"/>
      <c r="E54" s="3"/>
      <c r="F54" s="3"/>
      <c r="G54" s="2"/>
      <c r="H54" s="2"/>
      <c r="I54" s="2"/>
      <c r="J54" s="2"/>
      <c r="K54" s="3"/>
      <c r="L54" s="3"/>
      <c r="M54" s="3"/>
      <c r="N54" s="3"/>
      <c r="O54" s="3"/>
      <c r="P54" s="3"/>
      <c r="Q54" s="3"/>
      <c r="R54" s="3"/>
      <c r="S54" s="3"/>
      <c r="T54" s="3"/>
      <c r="U54" s="3"/>
      <c r="V54" s="3"/>
      <c r="W54" s="3"/>
      <c r="X54" s="3"/>
      <c r="Y54" s="3"/>
      <c r="Z54" s="3"/>
      <c r="AA54" s="3"/>
      <c r="AB54" s="3"/>
      <c r="AC54" s="3"/>
      <c r="AD54" s="3"/>
      <c r="AE54" s="3"/>
      <c r="AF54" s="3"/>
      <c r="AG54" s="3"/>
      <c r="AH54" s="3"/>
      <c r="AI54" s="3"/>
      <c r="AJ54" s="3"/>
    </row>
    <row r="55" spans="1:36" x14ac:dyDescent="0.3">
      <c r="A55" s="3"/>
      <c r="B55" s="2"/>
      <c r="C55" s="3"/>
      <c r="D55" s="2"/>
      <c r="E55" s="3"/>
      <c r="F55" s="3"/>
      <c r="G55" s="2"/>
      <c r="H55" s="2"/>
      <c r="I55" s="2"/>
      <c r="J55" s="2"/>
      <c r="K55" s="3"/>
      <c r="L55" s="3"/>
      <c r="M55" s="3"/>
      <c r="N55" s="3"/>
      <c r="O55" s="3"/>
      <c r="P55" s="3"/>
      <c r="Q55" s="3"/>
      <c r="R55" s="3"/>
      <c r="S55" s="3"/>
      <c r="T55" s="3"/>
      <c r="U55" s="3"/>
      <c r="V55" s="3"/>
      <c r="W55" s="3"/>
      <c r="X55" s="3"/>
      <c r="Y55" s="3"/>
      <c r="Z55" s="3"/>
      <c r="AA55" s="3"/>
      <c r="AB55" s="3"/>
      <c r="AC55" s="3"/>
      <c r="AD55" s="3"/>
      <c r="AE55" s="3"/>
      <c r="AF55" s="3"/>
      <c r="AG55" s="3"/>
      <c r="AH55" s="3"/>
      <c r="AI55" s="3"/>
      <c r="AJ55" s="3"/>
    </row>
    <row r="56" spans="1:36" x14ac:dyDescent="0.3">
      <c r="A56" s="3"/>
      <c r="B56" s="2"/>
      <c r="C56" s="3"/>
      <c r="D56" s="2"/>
      <c r="E56" s="3"/>
      <c r="F56" s="3"/>
      <c r="G56" s="2"/>
      <c r="H56" s="2"/>
      <c r="I56" s="2"/>
      <c r="J56" s="2"/>
      <c r="K56" s="3"/>
      <c r="L56" s="3"/>
      <c r="M56" s="3"/>
      <c r="N56" s="3"/>
      <c r="O56" s="3"/>
      <c r="P56" s="3"/>
      <c r="Q56" s="3"/>
      <c r="R56" s="3"/>
      <c r="S56" s="3"/>
      <c r="T56" s="3"/>
      <c r="U56" s="3"/>
      <c r="V56" s="3"/>
      <c r="W56" s="3"/>
      <c r="X56" s="3"/>
      <c r="Y56" s="3"/>
      <c r="Z56" s="3"/>
      <c r="AA56" s="3"/>
      <c r="AB56" s="3"/>
      <c r="AC56" s="3"/>
      <c r="AD56" s="3"/>
      <c r="AE56" s="3"/>
      <c r="AF56" s="3"/>
      <c r="AG56" s="3"/>
      <c r="AH56" s="3"/>
      <c r="AI56" s="3"/>
      <c r="AJ56" s="3"/>
    </row>
    <row r="57" spans="1:36" x14ac:dyDescent="0.3">
      <c r="A57" s="3"/>
      <c r="B57" s="2"/>
      <c r="C57" s="3"/>
      <c r="D57" s="2"/>
      <c r="E57" s="3"/>
      <c r="F57" s="3"/>
      <c r="G57" s="2"/>
      <c r="H57" s="2"/>
      <c r="I57" s="2"/>
      <c r="J57" s="2"/>
      <c r="K57" s="3"/>
      <c r="L57" s="3"/>
      <c r="M57" s="3"/>
      <c r="N57" s="3"/>
      <c r="O57" s="3"/>
      <c r="P57" s="3"/>
      <c r="Q57" s="3"/>
      <c r="R57" s="3"/>
      <c r="S57" s="3"/>
      <c r="T57" s="3"/>
      <c r="U57" s="3"/>
      <c r="V57" s="3"/>
      <c r="W57" s="3"/>
      <c r="X57" s="3"/>
      <c r="Y57" s="3"/>
      <c r="Z57" s="3"/>
      <c r="AA57" s="3"/>
      <c r="AB57" s="3"/>
      <c r="AC57" s="3"/>
      <c r="AD57" s="3"/>
      <c r="AE57" s="3"/>
      <c r="AF57" s="3"/>
      <c r="AG57" s="3"/>
      <c r="AH57" s="3"/>
      <c r="AI57" s="3"/>
      <c r="AJ57" s="3"/>
    </row>
    <row r="58" spans="1:36" x14ac:dyDescent="0.3">
      <c r="A58" s="3"/>
      <c r="B58" s="2"/>
      <c r="C58" s="3"/>
      <c r="D58" s="2"/>
      <c r="E58" s="3"/>
      <c r="F58" s="3"/>
      <c r="G58" s="2"/>
      <c r="H58" s="2"/>
      <c r="I58" s="2"/>
      <c r="J58" s="2"/>
      <c r="K58" s="3"/>
      <c r="L58" s="3"/>
      <c r="M58" s="3"/>
      <c r="N58" s="3"/>
      <c r="O58" s="3"/>
      <c r="P58" s="3"/>
      <c r="Q58" s="3"/>
      <c r="R58" s="3"/>
      <c r="S58" s="3"/>
      <c r="T58" s="3"/>
      <c r="U58" s="3"/>
      <c r="V58" s="3"/>
      <c r="W58" s="3"/>
      <c r="X58" s="3"/>
      <c r="Y58" s="3"/>
      <c r="Z58" s="3"/>
      <c r="AA58" s="3"/>
      <c r="AB58" s="3"/>
      <c r="AC58" s="3"/>
      <c r="AD58" s="3"/>
      <c r="AE58" s="3"/>
      <c r="AF58" s="3"/>
      <c r="AG58" s="3"/>
      <c r="AH58" s="3"/>
      <c r="AI58" s="3"/>
      <c r="AJ58" s="3"/>
    </row>
    <row r="59" spans="1:36" x14ac:dyDescent="0.3">
      <c r="A59" s="3"/>
      <c r="B59" s="2"/>
      <c r="C59" s="3"/>
      <c r="D59" s="2"/>
      <c r="E59" s="3"/>
      <c r="F59" s="3"/>
      <c r="G59" s="2"/>
      <c r="H59" s="2"/>
      <c r="I59" s="2"/>
      <c r="J59" s="2"/>
      <c r="K59" s="3"/>
      <c r="L59" s="3"/>
      <c r="M59" s="3"/>
      <c r="N59" s="3"/>
      <c r="O59" s="3"/>
      <c r="P59" s="3"/>
      <c r="Q59" s="3"/>
      <c r="R59" s="3"/>
      <c r="S59" s="3"/>
      <c r="T59" s="3"/>
      <c r="U59" s="3"/>
      <c r="V59" s="3"/>
      <c r="W59" s="3"/>
      <c r="X59" s="3"/>
      <c r="Y59" s="3"/>
      <c r="Z59" s="3"/>
      <c r="AA59" s="3"/>
      <c r="AB59" s="3"/>
      <c r="AC59" s="3"/>
      <c r="AD59" s="3"/>
      <c r="AE59" s="3"/>
      <c r="AF59" s="3"/>
      <c r="AG59" s="3"/>
      <c r="AH59" s="3"/>
      <c r="AI59" s="3"/>
      <c r="AJ59" s="3"/>
    </row>
    <row r="60" spans="1:36" x14ac:dyDescent="0.3">
      <c r="A60" s="3"/>
      <c r="B60" s="2"/>
      <c r="C60" s="3"/>
      <c r="D60" s="2"/>
      <c r="E60" s="3"/>
      <c r="F60" s="3"/>
      <c r="G60" s="2"/>
      <c r="H60" s="2"/>
      <c r="I60" s="2"/>
      <c r="J60" s="2"/>
      <c r="K60" s="3"/>
      <c r="L60" s="3"/>
      <c r="M60" s="3"/>
      <c r="N60" s="3"/>
      <c r="O60" s="3"/>
      <c r="P60" s="3"/>
      <c r="Q60" s="3"/>
      <c r="R60" s="3"/>
      <c r="S60" s="3"/>
      <c r="T60" s="3"/>
      <c r="U60" s="3"/>
      <c r="V60" s="3"/>
      <c r="W60" s="3"/>
      <c r="X60" s="3"/>
      <c r="Y60" s="3"/>
      <c r="Z60" s="3"/>
      <c r="AA60" s="3"/>
      <c r="AB60" s="3"/>
      <c r="AC60" s="3"/>
      <c r="AD60" s="3"/>
      <c r="AE60" s="3"/>
      <c r="AF60" s="3"/>
      <c r="AG60" s="3"/>
      <c r="AH60" s="3"/>
      <c r="AI60" s="3"/>
      <c r="AJ60" s="3"/>
    </row>
    <row r="61" spans="1:36" x14ac:dyDescent="0.3">
      <c r="A61" s="3"/>
      <c r="B61" s="2"/>
      <c r="C61" s="3"/>
      <c r="D61" s="2"/>
      <c r="E61" s="3"/>
      <c r="F61" s="3"/>
      <c r="G61" s="2"/>
      <c r="H61" s="2"/>
      <c r="I61" s="2"/>
      <c r="J61" s="2"/>
      <c r="K61" s="3"/>
      <c r="L61" s="3"/>
      <c r="M61" s="3"/>
      <c r="N61" s="3"/>
      <c r="O61" s="3"/>
      <c r="P61" s="3"/>
      <c r="Q61" s="3"/>
      <c r="R61" s="3"/>
      <c r="S61" s="3"/>
      <c r="T61" s="3"/>
      <c r="U61" s="3"/>
      <c r="V61" s="3"/>
      <c r="W61" s="3"/>
      <c r="X61" s="3"/>
      <c r="Y61" s="3"/>
      <c r="Z61" s="3"/>
      <c r="AA61" s="3"/>
      <c r="AB61" s="3"/>
      <c r="AC61" s="3"/>
      <c r="AD61" s="3"/>
      <c r="AE61" s="3"/>
      <c r="AF61" s="3"/>
      <c r="AG61" s="3"/>
      <c r="AH61" s="3"/>
      <c r="AI61" s="3"/>
      <c r="AJ61" s="3"/>
    </row>
    <row r="62" spans="1:36" x14ac:dyDescent="0.3">
      <c r="A62" s="3"/>
      <c r="B62" s="2"/>
      <c r="C62" s="3"/>
      <c r="D62" s="2"/>
      <c r="E62" s="3"/>
      <c r="F62" s="3"/>
      <c r="G62" s="2"/>
      <c r="H62" s="2"/>
      <c r="I62" s="2"/>
      <c r="J62" s="2"/>
      <c r="K62" s="3"/>
      <c r="L62" s="3"/>
      <c r="M62" s="3"/>
      <c r="N62" s="3"/>
      <c r="O62" s="3"/>
      <c r="P62" s="3"/>
      <c r="Q62" s="3"/>
      <c r="R62" s="3"/>
      <c r="S62" s="3"/>
      <c r="T62" s="3"/>
      <c r="U62" s="3"/>
      <c r="V62" s="3"/>
      <c r="W62" s="3"/>
      <c r="X62" s="3"/>
      <c r="Y62" s="3"/>
      <c r="Z62" s="3"/>
      <c r="AA62" s="3"/>
      <c r="AB62" s="3"/>
      <c r="AC62" s="3"/>
      <c r="AD62" s="3"/>
      <c r="AE62" s="3"/>
      <c r="AF62" s="3"/>
      <c r="AG62" s="3"/>
      <c r="AH62" s="3"/>
      <c r="AI62" s="3"/>
      <c r="AJ62" s="3"/>
    </row>
    <row r="63" spans="1:36" x14ac:dyDescent="0.3">
      <c r="A63" s="3"/>
      <c r="B63" s="2"/>
      <c r="C63" s="3"/>
      <c r="D63" s="2"/>
      <c r="E63" s="3"/>
      <c r="F63" s="3"/>
      <c r="G63" s="2"/>
      <c r="H63" s="2"/>
      <c r="I63" s="2"/>
      <c r="J63" s="2"/>
      <c r="K63" s="3"/>
      <c r="L63" s="3"/>
      <c r="M63" s="3"/>
      <c r="N63" s="3"/>
      <c r="O63" s="3"/>
      <c r="P63" s="3"/>
      <c r="Q63" s="3"/>
      <c r="R63" s="3"/>
      <c r="S63" s="3"/>
      <c r="T63" s="3"/>
      <c r="U63" s="3"/>
      <c r="V63" s="3"/>
      <c r="W63" s="3"/>
      <c r="X63" s="3"/>
      <c r="Y63" s="3"/>
      <c r="Z63" s="3"/>
      <c r="AA63" s="3"/>
      <c r="AB63" s="3"/>
      <c r="AC63" s="3"/>
      <c r="AD63" s="3"/>
      <c r="AE63" s="3"/>
      <c r="AF63" s="3"/>
      <c r="AG63" s="3"/>
      <c r="AH63" s="3"/>
      <c r="AI63" s="3"/>
      <c r="AJ63" s="3"/>
    </row>
    <row r="64" spans="1:36" x14ac:dyDescent="0.3">
      <c r="A64" s="3"/>
      <c r="B64" s="2"/>
      <c r="C64" s="3"/>
      <c r="D64" s="2"/>
      <c r="E64" s="3"/>
      <c r="F64" s="3"/>
      <c r="G64" s="2"/>
      <c r="H64" s="2"/>
      <c r="I64" s="2"/>
      <c r="J64" s="2"/>
      <c r="K64" s="3"/>
      <c r="L64" s="3"/>
      <c r="M64" s="3"/>
      <c r="N64" s="3"/>
      <c r="O64" s="3"/>
      <c r="P64" s="3"/>
      <c r="Q64" s="3"/>
      <c r="R64" s="3"/>
      <c r="S64" s="3"/>
      <c r="T64" s="3"/>
      <c r="U64" s="3"/>
      <c r="V64" s="3"/>
      <c r="W64" s="3"/>
      <c r="X64" s="3"/>
      <c r="Y64" s="3"/>
      <c r="Z64" s="3"/>
      <c r="AA64" s="3"/>
      <c r="AB64" s="3"/>
      <c r="AC64" s="3"/>
      <c r="AD64" s="3"/>
      <c r="AE64" s="3"/>
      <c r="AF64" s="3"/>
      <c r="AG64" s="3"/>
      <c r="AH64" s="3"/>
      <c r="AI64" s="3"/>
      <c r="AJ64" s="3"/>
    </row>
    <row r="65" spans="1:36" x14ac:dyDescent="0.3">
      <c r="A65" s="3"/>
      <c r="B65" s="2"/>
      <c r="C65" s="3"/>
      <c r="D65" s="2"/>
      <c r="E65" s="3"/>
      <c r="F65" s="3"/>
      <c r="G65" s="2"/>
      <c r="H65" s="2"/>
      <c r="I65" s="2"/>
      <c r="J65" s="2"/>
      <c r="K65" s="3"/>
      <c r="L65" s="3"/>
      <c r="M65" s="3"/>
      <c r="N65" s="3"/>
      <c r="O65" s="3"/>
      <c r="P65" s="3"/>
      <c r="Q65" s="3"/>
      <c r="R65" s="3"/>
      <c r="S65" s="3"/>
      <c r="T65" s="3"/>
      <c r="U65" s="3"/>
      <c r="V65" s="3"/>
      <c r="W65" s="3"/>
      <c r="X65" s="3"/>
      <c r="Y65" s="3"/>
      <c r="Z65" s="3"/>
      <c r="AA65" s="3"/>
      <c r="AB65" s="3"/>
      <c r="AC65" s="3"/>
      <c r="AD65" s="3"/>
      <c r="AE65" s="3"/>
      <c r="AF65" s="3"/>
      <c r="AG65" s="3"/>
      <c r="AH65" s="3"/>
      <c r="AI65" s="3"/>
      <c r="AJ65" s="3"/>
    </row>
    <row r="66" spans="1:36" x14ac:dyDescent="0.3">
      <c r="A66" s="3"/>
      <c r="B66" s="2"/>
      <c r="C66" s="3"/>
      <c r="D66" s="2"/>
      <c r="E66" s="3"/>
      <c r="F66" s="3"/>
      <c r="G66" s="2"/>
      <c r="H66" s="2"/>
      <c r="I66" s="2"/>
      <c r="J66" s="2"/>
      <c r="K66" s="3"/>
      <c r="L66" s="3"/>
      <c r="M66" s="3"/>
      <c r="N66" s="3"/>
      <c r="O66" s="3"/>
      <c r="P66" s="3"/>
      <c r="Q66" s="3"/>
      <c r="R66" s="3"/>
      <c r="S66" s="3"/>
      <c r="T66" s="3"/>
      <c r="U66" s="3"/>
      <c r="V66" s="3"/>
      <c r="W66" s="3"/>
      <c r="X66" s="3"/>
      <c r="Y66" s="3"/>
      <c r="Z66" s="3"/>
      <c r="AA66" s="3"/>
      <c r="AB66" s="3"/>
      <c r="AC66" s="3"/>
      <c r="AD66" s="3"/>
      <c r="AE66" s="3"/>
      <c r="AF66" s="3"/>
      <c r="AG66" s="3"/>
      <c r="AH66" s="3"/>
      <c r="AI66" s="3"/>
      <c r="AJ66" s="3"/>
    </row>
    <row r="67" spans="1:36" x14ac:dyDescent="0.3">
      <c r="A67" s="3"/>
      <c r="B67" s="2"/>
      <c r="C67" s="3"/>
      <c r="D67" s="2"/>
      <c r="E67" s="3"/>
      <c r="F67" s="3"/>
      <c r="G67" s="2"/>
      <c r="H67" s="2"/>
      <c r="I67" s="2"/>
      <c r="J67" s="2"/>
      <c r="K67" s="3"/>
      <c r="L67" s="3"/>
      <c r="M67" s="3"/>
      <c r="N67" s="3"/>
      <c r="O67" s="3"/>
      <c r="P67" s="3"/>
      <c r="Q67" s="3"/>
      <c r="R67" s="3"/>
      <c r="S67" s="3"/>
      <c r="T67" s="3"/>
      <c r="U67" s="3"/>
      <c r="V67" s="3"/>
      <c r="W67" s="3"/>
      <c r="X67" s="3"/>
      <c r="Y67" s="3"/>
      <c r="Z67" s="3"/>
      <c r="AA67" s="3"/>
      <c r="AB67" s="3"/>
      <c r="AC67" s="3"/>
      <c r="AD67" s="3"/>
      <c r="AE67" s="3"/>
      <c r="AF67" s="3"/>
      <c r="AG67" s="3"/>
      <c r="AH67" s="3"/>
      <c r="AI67" s="3"/>
      <c r="AJ67" s="3"/>
    </row>
    <row r="68" spans="1:36" x14ac:dyDescent="0.3">
      <c r="A68" s="3"/>
      <c r="B68" s="2"/>
      <c r="C68" s="3"/>
      <c r="D68" s="2"/>
      <c r="E68" s="3"/>
      <c r="F68" s="3"/>
      <c r="G68" s="2"/>
      <c r="H68" s="2"/>
      <c r="I68" s="2"/>
      <c r="J68" s="2"/>
      <c r="K68" s="3"/>
      <c r="L68" s="3"/>
      <c r="M68" s="3"/>
      <c r="N68" s="3"/>
      <c r="O68" s="3"/>
      <c r="P68" s="3"/>
      <c r="Q68" s="3"/>
      <c r="R68" s="3"/>
      <c r="S68" s="3"/>
      <c r="T68" s="3"/>
      <c r="U68" s="3"/>
      <c r="V68" s="3"/>
      <c r="W68" s="3"/>
      <c r="X68" s="3"/>
      <c r="Y68" s="3"/>
      <c r="Z68" s="3"/>
      <c r="AA68" s="3"/>
      <c r="AB68" s="3"/>
      <c r="AC68" s="3"/>
      <c r="AD68" s="3"/>
      <c r="AE68" s="3"/>
      <c r="AF68" s="3"/>
      <c r="AG68" s="3"/>
      <c r="AH68" s="3"/>
      <c r="AI68" s="3"/>
      <c r="AJ68" s="3"/>
    </row>
    <row r="69" spans="1:36" x14ac:dyDescent="0.3">
      <c r="A69" s="3"/>
      <c r="B69" s="2"/>
      <c r="C69" s="3"/>
      <c r="D69" s="2"/>
      <c r="E69" s="3"/>
      <c r="F69" s="3"/>
      <c r="G69" s="2"/>
      <c r="H69" s="2"/>
      <c r="I69" s="2"/>
      <c r="J69" s="2"/>
      <c r="K69" s="3"/>
      <c r="L69" s="3"/>
      <c r="M69" s="3"/>
      <c r="N69" s="3"/>
      <c r="O69" s="3"/>
      <c r="P69" s="3"/>
      <c r="Q69" s="3"/>
      <c r="R69" s="3"/>
      <c r="S69" s="3"/>
      <c r="T69" s="3"/>
      <c r="U69" s="3"/>
      <c r="V69" s="3"/>
      <c r="W69" s="3"/>
      <c r="X69" s="3"/>
      <c r="Y69" s="3"/>
      <c r="Z69" s="3"/>
      <c r="AA69" s="3"/>
      <c r="AB69" s="3"/>
      <c r="AC69" s="3"/>
      <c r="AD69" s="3"/>
      <c r="AE69" s="3"/>
      <c r="AF69" s="3"/>
      <c r="AG69" s="3"/>
      <c r="AH69" s="3"/>
      <c r="AI69" s="3"/>
      <c r="AJ69" s="3"/>
    </row>
    <row r="70" spans="1:36" x14ac:dyDescent="0.3">
      <c r="A70" s="3"/>
      <c r="B70" s="2"/>
      <c r="C70" s="3"/>
      <c r="D70" s="2"/>
      <c r="E70" s="3"/>
      <c r="F70" s="3"/>
      <c r="G70" s="2"/>
      <c r="H70" s="2"/>
      <c r="I70" s="2"/>
      <c r="J70" s="2"/>
      <c r="K70" s="3"/>
      <c r="L70" s="3"/>
      <c r="M70" s="3"/>
      <c r="N70" s="3"/>
      <c r="O70" s="3"/>
      <c r="P70" s="3"/>
      <c r="Q70" s="3"/>
      <c r="R70" s="3"/>
      <c r="S70" s="3"/>
      <c r="T70" s="3"/>
      <c r="U70" s="3"/>
      <c r="V70" s="3"/>
      <c r="W70" s="3"/>
      <c r="X70" s="3"/>
      <c r="Y70" s="3"/>
      <c r="Z70" s="3"/>
      <c r="AA70" s="3"/>
      <c r="AB70" s="3"/>
      <c r="AC70" s="3"/>
      <c r="AD70" s="3"/>
      <c r="AE70" s="3"/>
      <c r="AF70" s="3"/>
      <c r="AG70" s="3"/>
      <c r="AH70" s="3"/>
      <c r="AI70" s="3"/>
      <c r="AJ70" s="3"/>
    </row>
    <row r="71" spans="1:36" x14ac:dyDescent="0.3">
      <c r="A71" s="3"/>
      <c r="B71" s="2"/>
      <c r="C71" s="3"/>
      <c r="D71" s="2"/>
      <c r="E71" s="3"/>
      <c r="F71" s="3"/>
      <c r="G71" s="2"/>
      <c r="H71" s="2"/>
      <c r="I71" s="2"/>
      <c r="J71" s="2"/>
      <c r="K71" s="3"/>
      <c r="L71" s="3"/>
      <c r="M71" s="3"/>
      <c r="N71" s="3"/>
      <c r="O71" s="3"/>
      <c r="P71" s="3"/>
      <c r="Q71" s="3"/>
      <c r="R71" s="3"/>
      <c r="S71" s="3"/>
      <c r="T71" s="3"/>
      <c r="U71" s="3"/>
      <c r="V71" s="3"/>
      <c r="W71" s="3"/>
      <c r="X71" s="3"/>
      <c r="Y71" s="3"/>
      <c r="Z71" s="3"/>
      <c r="AA71" s="3"/>
      <c r="AB71" s="3"/>
      <c r="AC71" s="3"/>
      <c r="AD71" s="3"/>
      <c r="AE71" s="3"/>
      <c r="AF71" s="3"/>
      <c r="AG71" s="3"/>
      <c r="AH71" s="3"/>
      <c r="AI71" s="3"/>
      <c r="AJ71" s="3"/>
    </row>
    <row r="72" spans="1:36" x14ac:dyDescent="0.3">
      <c r="A72" s="3"/>
      <c r="B72" s="2"/>
      <c r="C72" s="3"/>
      <c r="D72" s="2"/>
      <c r="E72" s="3"/>
      <c r="F72" s="3"/>
      <c r="G72" s="2"/>
      <c r="H72" s="2"/>
      <c r="I72" s="2"/>
      <c r="J72" s="2"/>
      <c r="K72" s="3"/>
      <c r="L72" s="3"/>
      <c r="M72" s="3"/>
      <c r="N72" s="3"/>
      <c r="O72" s="3"/>
      <c r="P72" s="3"/>
      <c r="Q72" s="3"/>
      <c r="R72" s="3"/>
      <c r="S72" s="3"/>
      <c r="T72" s="3"/>
      <c r="U72" s="3"/>
      <c r="V72" s="3"/>
      <c r="W72" s="3"/>
      <c r="X72" s="3"/>
      <c r="Y72" s="3"/>
      <c r="Z72" s="3"/>
      <c r="AA72" s="3"/>
      <c r="AB72" s="3"/>
      <c r="AC72" s="3"/>
      <c r="AD72" s="3"/>
      <c r="AE72" s="3"/>
      <c r="AF72" s="3"/>
      <c r="AG72" s="3"/>
      <c r="AH72" s="3"/>
      <c r="AI72" s="3"/>
      <c r="AJ72" s="3"/>
    </row>
    <row r="73" spans="1:36" x14ac:dyDescent="0.3">
      <c r="A73" s="3"/>
      <c r="B73" s="2"/>
      <c r="C73" s="3"/>
      <c r="D73" s="2"/>
      <c r="E73" s="3"/>
      <c r="F73" s="3"/>
      <c r="G73" s="2"/>
      <c r="H73" s="2"/>
      <c r="I73" s="2"/>
      <c r="J73" s="2"/>
      <c r="K73" s="3"/>
      <c r="L73" s="3"/>
      <c r="M73" s="3"/>
      <c r="N73" s="3"/>
      <c r="O73" s="3"/>
      <c r="P73" s="3"/>
      <c r="Q73" s="3"/>
      <c r="R73" s="3"/>
      <c r="S73" s="3"/>
      <c r="T73" s="3"/>
      <c r="U73" s="3"/>
      <c r="V73" s="3"/>
      <c r="W73" s="3"/>
      <c r="X73" s="3"/>
      <c r="Y73" s="3"/>
      <c r="Z73" s="3"/>
      <c r="AA73" s="3"/>
      <c r="AB73" s="3"/>
      <c r="AC73" s="3"/>
      <c r="AD73" s="3"/>
      <c r="AE73" s="3"/>
      <c r="AF73" s="3"/>
      <c r="AG73" s="3"/>
      <c r="AH73" s="3"/>
      <c r="AI73" s="3"/>
      <c r="AJ73" s="3"/>
    </row>
    <row r="74" spans="1:36" x14ac:dyDescent="0.3">
      <c r="A74" s="3"/>
      <c r="B74" s="2"/>
      <c r="C74" s="3"/>
      <c r="D74" s="2"/>
      <c r="E74" s="3"/>
      <c r="F74" s="3"/>
      <c r="G74" s="2"/>
      <c r="H74" s="2"/>
      <c r="I74" s="2"/>
      <c r="J74" s="2"/>
      <c r="K74" s="3"/>
      <c r="L74" s="3"/>
      <c r="M74" s="3"/>
      <c r="N74" s="3"/>
      <c r="O74" s="3"/>
      <c r="P74" s="3"/>
      <c r="Q74" s="3"/>
      <c r="R74" s="3"/>
      <c r="S74" s="3"/>
      <c r="T74" s="3"/>
      <c r="U74" s="3"/>
      <c r="V74" s="3"/>
      <c r="W74" s="3"/>
      <c r="X74" s="3"/>
      <c r="Y74" s="3"/>
      <c r="Z74" s="3"/>
      <c r="AA74" s="3"/>
      <c r="AB74" s="3"/>
      <c r="AC74" s="3"/>
      <c r="AD74" s="3"/>
      <c r="AE74" s="3"/>
      <c r="AF74" s="3"/>
      <c r="AG74" s="3"/>
      <c r="AH74" s="3"/>
      <c r="AI74" s="3"/>
      <c r="AJ74" s="3"/>
    </row>
    <row r="75" spans="1:36" x14ac:dyDescent="0.3">
      <c r="A75" s="3"/>
      <c r="B75" s="2"/>
      <c r="C75" s="3"/>
      <c r="D75" s="2"/>
      <c r="E75" s="3"/>
      <c r="F75" s="3"/>
      <c r="G75" s="2"/>
      <c r="H75" s="2"/>
      <c r="I75" s="2"/>
      <c r="J75" s="2"/>
      <c r="K75" s="3"/>
      <c r="L75" s="3"/>
      <c r="M75" s="3"/>
      <c r="N75" s="3"/>
      <c r="O75" s="3"/>
      <c r="P75" s="3"/>
      <c r="Q75" s="3"/>
      <c r="R75" s="3"/>
      <c r="S75" s="3"/>
      <c r="T75" s="3"/>
      <c r="U75" s="3"/>
      <c r="V75" s="3"/>
      <c r="W75" s="3"/>
      <c r="X75" s="3"/>
      <c r="Y75" s="3"/>
      <c r="Z75" s="3"/>
      <c r="AA75" s="3"/>
      <c r="AB75" s="3"/>
      <c r="AC75" s="3"/>
      <c r="AD75" s="3"/>
      <c r="AE75" s="3"/>
      <c r="AF75" s="3"/>
      <c r="AG75" s="3"/>
      <c r="AH75" s="3"/>
      <c r="AI75" s="3"/>
      <c r="AJ75" s="3"/>
    </row>
    <row r="76" spans="1:36" x14ac:dyDescent="0.3">
      <c r="A76" s="3"/>
      <c r="B76" s="2"/>
      <c r="C76" s="3"/>
      <c r="D76" s="2"/>
      <c r="E76" s="3"/>
      <c r="F76" s="3"/>
      <c r="G76" s="2"/>
      <c r="H76" s="2"/>
      <c r="I76" s="2"/>
      <c r="J76" s="2"/>
      <c r="K76" s="3"/>
      <c r="L76" s="3"/>
      <c r="M76" s="3"/>
      <c r="N76" s="3"/>
      <c r="O76" s="3"/>
      <c r="P76" s="3"/>
      <c r="Q76" s="3"/>
      <c r="R76" s="3"/>
      <c r="S76" s="3"/>
      <c r="T76" s="3"/>
      <c r="U76" s="3"/>
      <c r="V76" s="3"/>
      <c r="W76" s="3"/>
      <c r="X76" s="3"/>
      <c r="Y76" s="3"/>
      <c r="Z76" s="3"/>
      <c r="AA76" s="3"/>
      <c r="AB76" s="3"/>
      <c r="AC76" s="3"/>
      <c r="AD76" s="3"/>
      <c r="AE76" s="3"/>
      <c r="AF76" s="3"/>
      <c r="AG76" s="3"/>
      <c r="AH76" s="3"/>
      <c r="AI76" s="3"/>
      <c r="AJ76" s="3"/>
    </row>
    <row r="77" spans="1:36" x14ac:dyDescent="0.3">
      <c r="A77" s="3"/>
      <c r="B77" s="2"/>
      <c r="C77" s="3"/>
      <c r="D77" s="2"/>
      <c r="E77" s="3"/>
      <c r="F77" s="3"/>
      <c r="G77" s="2"/>
      <c r="H77" s="2"/>
      <c r="I77" s="2"/>
      <c r="J77" s="2"/>
      <c r="K77" s="3"/>
      <c r="L77" s="3"/>
      <c r="M77" s="3"/>
      <c r="N77" s="3"/>
      <c r="O77" s="3"/>
      <c r="P77" s="3"/>
      <c r="Q77" s="3"/>
      <c r="R77" s="3"/>
      <c r="S77" s="3"/>
      <c r="T77" s="3"/>
      <c r="U77" s="3"/>
      <c r="V77" s="3"/>
      <c r="W77" s="3"/>
      <c r="X77" s="3"/>
      <c r="Y77" s="3"/>
      <c r="Z77" s="3"/>
      <c r="AA77" s="3"/>
      <c r="AB77" s="3"/>
      <c r="AC77" s="3"/>
      <c r="AD77" s="3"/>
      <c r="AE77" s="3"/>
      <c r="AF77" s="3"/>
      <c r="AG77" s="3"/>
      <c r="AH77" s="3"/>
      <c r="AI77" s="3"/>
      <c r="AJ77" s="3"/>
    </row>
    <row r="78" spans="1:36" x14ac:dyDescent="0.3">
      <c r="A78" s="3"/>
      <c r="B78" s="2"/>
      <c r="C78" s="3"/>
      <c r="D78" s="2"/>
      <c r="E78" s="3"/>
      <c r="F78" s="3"/>
      <c r="G78" s="2"/>
      <c r="H78" s="2"/>
      <c r="I78" s="2"/>
      <c r="J78" s="2"/>
      <c r="K78" s="3"/>
      <c r="L78" s="3"/>
      <c r="M78" s="3"/>
      <c r="N78" s="3"/>
      <c r="O78" s="3"/>
      <c r="P78" s="3"/>
      <c r="Q78" s="3"/>
      <c r="R78" s="3"/>
      <c r="S78" s="3"/>
      <c r="T78" s="3"/>
      <c r="U78" s="3"/>
      <c r="V78" s="3"/>
      <c r="W78" s="3"/>
      <c r="X78" s="3"/>
      <c r="Y78" s="3"/>
      <c r="Z78" s="3"/>
      <c r="AA78" s="3"/>
      <c r="AB78" s="3"/>
      <c r="AC78" s="3"/>
      <c r="AD78" s="3"/>
      <c r="AE78" s="3"/>
      <c r="AF78" s="3"/>
      <c r="AG78" s="3"/>
      <c r="AH78" s="3"/>
      <c r="AI78" s="3"/>
      <c r="AJ78" s="3"/>
    </row>
    <row r="79" spans="1:36" x14ac:dyDescent="0.3">
      <c r="A79" s="3"/>
      <c r="B79" s="2"/>
      <c r="C79" s="3"/>
      <c r="D79" s="2"/>
      <c r="E79" s="3"/>
      <c r="F79" s="3"/>
      <c r="G79" s="2"/>
      <c r="H79" s="2"/>
      <c r="I79" s="2"/>
      <c r="J79" s="2"/>
      <c r="K79" s="3"/>
      <c r="L79" s="3"/>
      <c r="M79" s="3"/>
      <c r="N79" s="3"/>
      <c r="O79" s="3"/>
      <c r="P79" s="3"/>
      <c r="Q79" s="3"/>
      <c r="R79" s="3"/>
      <c r="S79" s="3"/>
      <c r="T79" s="3"/>
      <c r="U79" s="3"/>
      <c r="V79" s="3"/>
      <c r="W79" s="3"/>
      <c r="X79" s="3"/>
      <c r="Y79" s="3"/>
      <c r="Z79" s="3"/>
      <c r="AA79" s="3"/>
      <c r="AB79" s="3"/>
      <c r="AC79" s="3"/>
      <c r="AD79" s="3"/>
      <c r="AE79" s="3"/>
      <c r="AF79" s="3"/>
      <c r="AG79" s="3"/>
      <c r="AH79" s="3"/>
      <c r="AI79" s="3"/>
      <c r="AJ79" s="3"/>
    </row>
    <row r="80" spans="1:36" x14ac:dyDescent="0.3">
      <c r="A80" s="3"/>
      <c r="B80" s="2"/>
      <c r="C80" s="3"/>
      <c r="D80" s="2"/>
      <c r="E80" s="3"/>
      <c r="F80" s="3"/>
      <c r="G80" s="2"/>
      <c r="H80" s="2"/>
      <c r="I80" s="2"/>
      <c r="J80" s="2"/>
      <c r="K80" s="3"/>
      <c r="L80" s="3"/>
      <c r="M80" s="3"/>
      <c r="N80" s="3"/>
      <c r="O80" s="3"/>
      <c r="P80" s="3"/>
      <c r="Q80" s="3"/>
      <c r="R80" s="3"/>
      <c r="S80" s="3"/>
      <c r="T80" s="3"/>
      <c r="U80" s="3"/>
      <c r="V80" s="3"/>
      <c r="W80" s="3"/>
      <c r="X80" s="3"/>
      <c r="Y80" s="3"/>
      <c r="Z80" s="3"/>
      <c r="AA80" s="3"/>
      <c r="AB80" s="3"/>
      <c r="AC80" s="3"/>
      <c r="AD80" s="3"/>
      <c r="AE80" s="3"/>
      <c r="AF80" s="3"/>
      <c r="AG80" s="3"/>
      <c r="AH80" s="3"/>
      <c r="AI80" s="3"/>
      <c r="AJ80" s="3"/>
    </row>
    <row r="81" spans="1:36" x14ac:dyDescent="0.3">
      <c r="A81" s="3"/>
      <c r="B81" s="2"/>
      <c r="C81" s="3"/>
      <c r="D81" s="2"/>
      <c r="E81" s="3"/>
      <c r="F81" s="3"/>
      <c r="G81" s="2"/>
      <c r="H81" s="2"/>
      <c r="I81" s="2"/>
      <c r="J81" s="2"/>
      <c r="K81" s="3"/>
      <c r="L81" s="3"/>
      <c r="M81" s="3"/>
      <c r="N81" s="3"/>
      <c r="O81" s="3"/>
      <c r="P81" s="3"/>
      <c r="Q81" s="3"/>
      <c r="R81" s="3"/>
      <c r="S81" s="3"/>
      <c r="T81" s="3"/>
      <c r="U81" s="3"/>
      <c r="V81" s="3"/>
      <c r="W81" s="3"/>
      <c r="X81" s="3"/>
      <c r="Y81" s="3"/>
      <c r="Z81" s="3"/>
      <c r="AA81" s="3"/>
      <c r="AB81" s="3"/>
      <c r="AC81" s="3"/>
      <c r="AD81" s="3"/>
      <c r="AE81" s="3"/>
      <c r="AF81" s="3"/>
      <c r="AG81" s="3"/>
      <c r="AH81" s="3"/>
      <c r="AI81" s="3"/>
      <c r="AJ81" s="3"/>
    </row>
    <row r="82" spans="1:36" x14ac:dyDescent="0.3">
      <c r="A82" s="3"/>
      <c r="B82" s="2"/>
      <c r="C82" s="3"/>
      <c r="D82" s="2"/>
      <c r="E82" s="3"/>
      <c r="F82" s="3"/>
      <c r="G82" s="2"/>
      <c r="H82" s="2"/>
      <c r="I82" s="2"/>
      <c r="J82" s="2"/>
      <c r="K82" s="3"/>
      <c r="L82" s="3"/>
      <c r="M82" s="3"/>
      <c r="N82" s="3"/>
      <c r="O82" s="3"/>
      <c r="P82" s="3"/>
      <c r="Q82" s="3"/>
      <c r="R82" s="3"/>
      <c r="S82" s="3"/>
      <c r="T82" s="3"/>
      <c r="U82" s="3"/>
      <c r="V82" s="3"/>
      <c r="W82" s="3"/>
      <c r="X82" s="3"/>
      <c r="Y82" s="3"/>
      <c r="Z82" s="3"/>
      <c r="AA82" s="3"/>
      <c r="AB82" s="3"/>
      <c r="AC82" s="3"/>
      <c r="AD82" s="3"/>
      <c r="AE82" s="3"/>
      <c r="AF82" s="3"/>
      <c r="AG82" s="3"/>
      <c r="AH82" s="3"/>
      <c r="AI82" s="3"/>
      <c r="AJ82" s="3"/>
    </row>
    <row r="83" spans="1:36" x14ac:dyDescent="0.3">
      <c r="A83" s="3"/>
      <c r="B83" s="2"/>
      <c r="C83" s="3"/>
      <c r="D83" s="2"/>
      <c r="E83" s="3"/>
      <c r="F83" s="3"/>
      <c r="G83" s="2"/>
      <c r="H83" s="2"/>
      <c r="I83" s="2"/>
      <c r="J83" s="2"/>
      <c r="K83" s="3"/>
      <c r="L83" s="3"/>
      <c r="M83" s="3"/>
      <c r="N83" s="3"/>
      <c r="O83" s="3"/>
      <c r="P83" s="3"/>
      <c r="Q83" s="3"/>
      <c r="R83" s="3"/>
      <c r="S83" s="3"/>
      <c r="T83" s="3"/>
      <c r="U83" s="3"/>
      <c r="V83" s="3"/>
      <c r="W83" s="3"/>
      <c r="X83" s="3"/>
      <c r="Y83" s="3"/>
      <c r="Z83" s="3"/>
      <c r="AA83" s="3"/>
      <c r="AB83" s="3"/>
      <c r="AC83" s="3"/>
      <c r="AD83" s="3"/>
      <c r="AE83" s="3"/>
      <c r="AF83" s="3"/>
      <c r="AG83" s="3"/>
      <c r="AH83" s="3"/>
      <c r="AI83" s="3"/>
      <c r="AJ83" s="3"/>
    </row>
    <row r="84" spans="1:36" x14ac:dyDescent="0.3">
      <c r="A84" s="3"/>
      <c r="B84" s="2"/>
      <c r="C84" s="3"/>
      <c r="D84" s="2"/>
      <c r="E84" s="3"/>
      <c r="F84" s="3"/>
      <c r="G84" s="2"/>
      <c r="H84" s="2"/>
      <c r="I84" s="2"/>
      <c r="J84" s="2"/>
      <c r="K84" s="3"/>
      <c r="L84" s="3"/>
      <c r="M84" s="3"/>
      <c r="N84" s="3"/>
      <c r="O84" s="3"/>
      <c r="P84" s="3"/>
      <c r="Q84" s="3"/>
      <c r="R84" s="3"/>
      <c r="S84" s="3"/>
      <c r="T84" s="3"/>
      <c r="U84" s="3"/>
      <c r="V84" s="3"/>
      <c r="W84" s="3"/>
      <c r="X84" s="3"/>
      <c r="Y84" s="3"/>
      <c r="Z84" s="3"/>
      <c r="AA84" s="3"/>
      <c r="AB84" s="3"/>
      <c r="AC84" s="3"/>
      <c r="AD84" s="3"/>
      <c r="AE84" s="3"/>
      <c r="AF84" s="3"/>
      <c r="AG84" s="3"/>
      <c r="AH84" s="3"/>
      <c r="AI84" s="3"/>
      <c r="AJ84" s="3"/>
    </row>
    <row r="85" spans="1:36" x14ac:dyDescent="0.3">
      <c r="A85" s="3"/>
      <c r="B85" s="2"/>
      <c r="C85" s="3"/>
      <c r="D85" s="2"/>
      <c r="E85" s="3"/>
      <c r="F85" s="3"/>
      <c r="G85" s="2"/>
      <c r="H85" s="2"/>
      <c r="I85" s="2"/>
      <c r="J85" s="2"/>
      <c r="K85" s="3"/>
      <c r="L85" s="3"/>
      <c r="M85" s="3"/>
      <c r="N85" s="3"/>
      <c r="O85" s="3"/>
      <c r="P85" s="3"/>
      <c r="Q85" s="3"/>
      <c r="R85" s="3"/>
      <c r="S85" s="3"/>
      <c r="T85" s="3"/>
      <c r="U85" s="3"/>
      <c r="V85" s="3"/>
      <c r="W85" s="3"/>
      <c r="X85" s="3"/>
      <c r="Y85" s="3"/>
      <c r="Z85" s="3"/>
      <c r="AA85" s="3"/>
      <c r="AB85" s="3"/>
      <c r="AC85" s="3"/>
      <c r="AD85" s="3"/>
      <c r="AE85" s="3"/>
      <c r="AF85" s="3"/>
      <c r="AG85" s="3"/>
      <c r="AH85" s="3"/>
      <c r="AI85" s="3"/>
      <c r="AJ85" s="3"/>
    </row>
    <row r="86" spans="1:36" x14ac:dyDescent="0.3">
      <c r="A86" s="3"/>
      <c r="B86" s="2"/>
      <c r="C86" s="3"/>
      <c r="D86" s="2"/>
      <c r="E86" s="3"/>
      <c r="F86" s="3"/>
      <c r="G86" s="2"/>
      <c r="H86" s="2"/>
      <c r="I86" s="2"/>
      <c r="J86" s="2"/>
      <c r="K86" s="3"/>
      <c r="L86" s="3"/>
      <c r="M86" s="3"/>
      <c r="N86" s="3"/>
      <c r="O86" s="3"/>
      <c r="P86" s="3"/>
      <c r="Q86" s="3"/>
      <c r="R86" s="3"/>
      <c r="S86" s="3"/>
      <c r="T86" s="3"/>
      <c r="U86" s="3"/>
      <c r="V86" s="3"/>
      <c r="W86" s="3"/>
      <c r="X86" s="3"/>
      <c r="Y86" s="3"/>
      <c r="Z86" s="3"/>
      <c r="AA86" s="3"/>
      <c r="AB86" s="3"/>
      <c r="AC86" s="3"/>
      <c r="AD86" s="3"/>
      <c r="AE86" s="3"/>
      <c r="AF86" s="3"/>
      <c r="AG86" s="3"/>
      <c r="AH86" s="3"/>
      <c r="AI86" s="3"/>
      <c r="AJ86" s="3"/>
    </row>
    <row r="87" spans="1:36" x14ac:dyDescent="0.3">
      <c r="A87" s="3"/>
      <c r="B87" s="2"/>
      <c r="C87" s="3"/>
      <c r="D87" s="2"/>
      <c r="E87" s="3"/>
      <c r="F87" s="3"/>
      <c r="G87" s="2"/>
      <c r="H87" s="2"/>
      <c r="I87" s="2"/>
      <c r="J87" s="2"/>
      <c r="K87" s="3"/>
      <c r="L87" s="3"/>
      <c r="M87" s="3"/>
      <c r="N87" s="3"/>
      <c r="O87" s="3"/>
      <c r="P87" s="3"/>
      <c r="Q87" s="3"/>
      <c r="R87" s="3"/>
      <c r="S87" s="3"/>
      <c r="T87" s="3"/>
      <c r="U87" s="3"/>
      <c r="V87" s="3"/>
      <c r="W87" s="3"/>
      <c r="X87" s="3"/>
      <c r="Y87" s="3"/>
      <c r="Z87" s="3"/>
      <c r="AA87" s="3"/>
      <c r="AB87" s="3"/>
      <c r="AC87" s="3"/>
      <c r="AD87" s="3"/>
      <c r="AE87" s="3"/>
      <c r="AF87" s="3"/>
      <c r="AG87" s="3"/>
      <c r="AH87" s="3"/>
      <c r="AI87" s="3"/>
      <c r="AJ87" s="3"/>
    </row>
    <row r="88" spans="1:36" x14ac:dyDescent="0.3">
      <c r="A88" s="3"/>
      <c r="B88" s="2"/>
      <c r="C88" s="3"/>
      <c r="D88" s="2"/>
      <c r="E88" s="3"/>
      <c r="F88" s="3"/>
      <c r="G88" s="2"/>
      <c r="H88" s="2"/>
      <c r="I88" s="2"/>
      <c r="J88" s="2"/>
      <c r="K88" s="3"/>
      <c r="L88" s="3"/>
      <c r="M88" s="3"/>
      <c r="N88" s="3"/>
      <c r="O88" s="3"/>
      <c r="P88" s="3"/>
      <c r="Q88" s="3"/>
      <c r="R88" s="3"/>
      <c r="S88" s="3"/>
      <c r="T88" s="3"/>
      <c r="U88" s="3"/>
      <c r="V88" s="3"/>
      <c r="W88" s="3"/>
      <c r="X88" s="3"/>
      <c r="Y88" s="3"/>
      <c r="Z88" s="3"/>
      <c r="AA88" s="3"/>
      <c r="AB88" s="3"/>
      <c r="AC88" s="3"/>
      <c r="AD88" s="3"/>
      <c r="AE88" s="3"/>
      <c r="AF88" s="3"/>
      <c r="AG88" s="3"/>
      <c r="AH88" s="3"/>
      <c r="AI88" s="3"/>
      <c r="AJ88" s="3"/>
    </row>
    <row r="89" spans="1:36" x14ac:dyDescent="0.3">
      <c r="A89" s="3"/>
      <c r="B89" s="2"/>
      <c r="C89" s="3"/>
      <c r="D89" s="2"/>
      <c r="E89" s="3"/>
      <c r="F89" s="3"/>
      <c r="G89" s="2"/>
      <c r="H89" s="2"/>
      <c r="I89" s="2"/>
      <c r="J89" s="2"/>
      <c r="K89" s="3"/>
      <c r="L89" s="3"/>
      <c r="M89" s="3"/>
      <c r="N89" s="3"/>
      <c r="O89" s="3"/>
      <c r="P89" s="3"/>
      <c r="Q89" s="3"/>
      <c r="R89" s="3"/>
      <c r="S89" s="3"/>
      <c r="T89" s="3"/>
      <c r="U89" s="3"/>
      <c r="V89" s="3"/>
      <c r="W89" s="3"/>
      <c r="X89" s="3"/>
      <c r="Y89" s="3"/>
      <c r="Z89" s="3"/>
      <c r="AA89" s="3"/>
      <c r="AB89" s="3"/>
      <c r="AC89" s="3"/>
      <c r="AD89" s="3"/>
      <c r="AE89" s="3"/>
      <c r="AF89" s="3"/>
      <c r="AG89" s="3"/>
      <c r="AH89" s="3"/>
      <c r="AI89" s="3"/>
      <c r="AJ89" s="3"/>
    </row>
    <row r="90" spans="1:36" x14ac:dyDescent="0.3">
      <c r="A90" s="3"/>
      <c r="B90" s="2"/>
      <c r="C90" s="3"/>
      <c r="D90" s="2"/>
      <c r="E90" s="3"/>
      <c r="F90" s="3"/>
      <c r="G90" s="2"/>
      <c r="H90" s="2"/>
      <c r="I90" s="2"/>
      <c r="J90" s="2"/>
      <c r="K90" s="3"/>
      <c r="L90" s="3"/>
      <c r="M90" s="3"/>
      <c r="N90" s="3"/>
      <c r="O90" s="3"/>
      <c r="P90" s="3"/>
      <c r="Q90" s="3"/>
      <c r="R90" s="3"/>
      <c r="S90" s="3"/>
      <c r="T90" s="3"/>
      <c r="U90" s="3"/>
      <c r="V90" s="3"/>
      <c r="W90" s="3"/>
      <c r="X90" s="3"/>
      <c r="Y90" s="3"/>
      <c r="Z90" s="3"/>
      <c r="AA90" s="3"/>
      <c r="AB90" s="3"/>
      <c r="AC90" s="3"/>
      <c r="AD90" s="3"/>
      <c r="AE90" s="3"/>
      <c r="AF90" s="3"/>
      <c r="AG90" s="3"/>
      <c r="AH90" s="3"/>
      <c r="AI90" s="3"/>
      <c r="AJ90" s="3"/>
    </row>
    <row r="91" spans="1:36" x14ac:dyDescent="0.3">
      <c r="A91" s="3"/>
      <c r="B91" s="2"/>
      <c r="C91" s="3"/>
      <c r="D91" s="2"/>
      <c r="E91" s="3"/>
      <c r="F91" s="3"/>
      <c r="G91" s="2"/>
      <c r="H91" s="2"/>
      <c r="I91" s="2"/>
      <c r="J91" s="2"/>
      <c r="K91" s="3"/>
      <c r="L91" s="3"/>
      <c r="M91" s="3"/>
      <c r="N91" s="3"/>
      <c r="O91" s="3"/>
      <c r="P91" s="3"/>
      <c r="Q91" s="3"/>
      <c r="R91" s="3"/>
      <c r="S91" s="3"/>
      <c r="T91" s="3"/>
      <c r="U91" s="3"/>
      <c r="V91" s="3"/>
      <c r="W91" s="3"/>
      <c r="X91" s="3"/>
      <c r="Y91" s="3"/>
      <c r="Z91" s="3"/>
      <c r="AA91" s="3"/>
      <c r="AB91" s="3"/>
      <c r="AC91" s="3"/>
      <c r="AD91" s="3"/>
      <c r="AE91" s="3"/>
      <c r="AF91" s="3"/>
      <c r="AG91" s="3"/>
      <c r="AH91" s="3"/>
      <c r="AI91" s="3"/>
      <c r="AJ91" s="3"/>
    </row>
    <row r="92" spans="1:36" x14ac:dyDescent="0.3">
      <c r="A92" s="3"/>
      <c r="B92" s="2"/>
      <c r="C92" s="3"/>
      <c r="D92" s="2"/>
      <c r="E92" s="3"/>
      <c r="F92" s="3"/>
      <c r="G92" s="2"/>
      <c r="H92" s="2"/>
      <c r="I92" s="2"/>
      <c r="J92" s="2"/>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6" x14ac:dyDescent="0.3">
      <c r="A93" s="3"/>
      <c r="B93" s="2"/>
      <c r="C93" s="3"/>
      <c r="D93" s="2"/>
      <c r="E93" s="3"/>
      <c r="F93" s="3"/>
      <c r="G93" s="2"/>
      <c r="H93" s="2"/>
      <c r="I93" s="2"/>
      <c r="J93" s="2"/>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6" x14ac:dyDescent="0.3">
      <c r="A94" s="3"/>
      <c r="B94" s="2"/>
      <c r="C94" s="3"/>
      <c r="D94" s="2"/>
      <c r="E94" s="3"/>
      <c r="F94" s="3"/>
      <c r="G94" s="2"/>
      <c r="H94" s="2"/>
      <c r="I94" s="2"/>
      <c r="J94" s="2"/>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6" x14ac:dyDescent="0.3">
      <c r="A95" s="3"/>
      <c r="B95" s="2"/>
      <c r="C95" s="3"/>
      <c r="D95" s="2"/>
      <c r="E95" s="3"/>
      <c r="F95" s="3"/>
      <c r="G95" s="2"/>
      <c r="H95" s="2"/>
      <c r="I95" s="2"/>
      <c r="J95" s="2"/>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6" x14ac:dyDescent="0.3">
      <c r="A96" s="3"/>
      <c r="B96" s="2"/>
      <c r="C96" s="3"/>
      <c r="D96" s="2"/>
      <c r="E96" s="3"/>
      <c r="F96" s="3"/>
      <c r="G96" s="2"/>
      <c r="H96" s="2"/>
      <c r="I96" s="2"/>
      <c r="J96" s="2"/>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8" x14ac:dyDescent="0.3">
      <c r="A97" s="3"/>
      <c r="B97" s="2"/>
      <c r="C97" s="3"/>
      <c r="D97" s="2"/>
      <c r="E97" s="3"/>
      <c r="F97" s="3"/>
      <c r="G97" s="2"/>
      <c r="H97" s="2"/>
      <c r="I97" s="2"/>
      <c r="J97" s="2"/>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8" x14ac:dyDescent="0.3">
      <c r="A98" s="3"/>
      <c r="B98" s="2"/>
      <c r="C98" s="3"/>
      <c r="D98" s="2"/>
      <c r="E98" s="3"/>
      <c r="F98" s="3"/>
      <c r="G98" s="2"/>
      <c r="H98" s="2"/>
      <c r="I98" s="2"/>
      <c r="J98" s="2"/>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8" x14ac:dyDescent="0.3">
      <c r="A99" s="3"/>
      <c r="B99" s="2"/>
      <c r="C99" s="3"/>
      <c r="D99" s="2"/>
      <c r="E99" s="3"/>
      <c r="F99" s="3"/>
      <c r="G99" s="2"/>
      <c r="H99" s="2"/>
      <c r="I99" s="2"/>
      <c r="J99" s="2"/>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8" x14ac:dyDescent="0.3">
      <c r="A100" s="3"/>
      <c r="B100" s="2"/>
      <c r="C100" s="3"/>
      <c r="D100" s="2"/>
      <c r="E100" s="3"/>
      <c r="F100" s="3"/>
      <c r="G100" s="2"/>
      <c r="H100" s="2"/>
      <c r="I100" s="2"/>
      <c r="J100" s="2"/>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8" x14ac:dyDescent="0.3">
      <c r="A101" s="3"/>
      <c r="B101" s="2"/>
      <c r="C101" s="3"/>
      <c r="D101" s="2"/>
      <c r="E101" s="3"/>
      <c r="F101" s="3"/>
      <c r="G101" s="2"/>
      <c r="H101" s="2"/>
      <c r="I101" s="2"/>
      <c r="J101" s="2"/>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8" x14ac:dyDescent="0.3">
      <c r="A102" s="3"/>
      <c r="B102" s="2"/>
      <c r="C102" s="3"/>
      <c r="D102" s="2"/>
      <c r="E102" s="3"/>
      <c r="F102" s="2"/>
      <c r="G102" s="3"/>
      <c r="H102" s="3"/>
      <c r="I102" s="3"/>
      <c r="J102" s="3"/>
      <c r="K102" s="2"/>
      <c r="L102" s="2"/>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row>
    <row r="103" spans="1:38" x14ac:dyDescent="0.3">
      <c r="A103" s="3"/>
      <c r="B103" s="2"/>
      <c r="C103" s="3"/>
      <c r="D103" s="2"/>
      <c r="E103" s="3"/>
      <c r="F103" s="2"/>
      <c r="G103" s="3"/>
      <c r="H103" s="3"/>
      <c r="I103" s="3"/>
      <c r="J103" s="3"/>
      <c r="K103" s="2"/>
      <c r="L103" s="2"/>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row>
    <row r="104" spans="1:38" x14ac:dyDescent="0.3">
      <c r="A104" s="3"/>
      <c r="B104" s="2"/>
      <c r="C104" s="3"/>
      <c r="D104" s="2"/>
      <c r="E104" s="3"/>
      <c r="F104" s="2"/>
      <c r="G104" s="3"/>
      <c r="H104" s="3"/>
      <c r="I104" s="3"/>
      <c r="J104" s="3"/>
      <c r="K104" s="2"/>
      <c r="L104" s="2"/>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row>
    <row r="105" spans="1:38" x14ac:dyDescent="0.3">
      <c r="A105" s="3"/>
      <c r="B105" s="2"/>
      <c r="C105" s="3"/>
      <c r="D105" s="2"/>
      <c r="E105" s="3"/>
      <c r="F105" s="2"/>
      <c r="G105" s="3"/>
      <c r="H105" s="3"/>
      <c r="I105" s="3"/>
      <c r="J105" s="3"/>
      <c r="K105" s="2"/>
      <c r="L105" s="2"/>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row>
    <row r="106" spans="1:38" x14ac:dyDescent="0.3">
      <c r="A106" s="3"/>
      <c r="B106" s="2"/>
      <c r="C106" s="3"/>
      <c r="D106" s="2"/>
      <c r="E106" s="3"/>
      <c r="F106" s="2"/>
      <c r="G106" s="3"/>
      <c r="H106" s="3"/>
      <c r="I106" s="3"/>
      <c r="J106" s="3"/>
      <c r="K106" s="2"/>
      <c r="L106" s="2"/>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x14ac:dyDescent="0.3">
      <c r="A107" s="3"/>
      <c r="B107" s="2"/>
      <c r="C107" s="3"/>
      <c r="D107" s="2"/>
      <c r="E107" s="3"/>
      <c r="F107" s="2"/>
      <c r="G107" s="3"/>
      <c r="H107" s="3"/>
      <c r="I107" s="3"/>
      <c r="J107" s="3"/>
      <c r="K107" s="2"/>
      <c r="L107" s="2"/>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x14ac:dyDescent="0.3">
      <c r="A108" s="3"/>
      <c r="B108" s="2"/>
      <c r="C108" s="3"/>
      <c r="D108" s="2"/>
      <c r="E108" s="3"/>
      <c r="F108" s="2"/>
      <c r="G108" s="3"/>
      <c r="H108" s="3"/>
      <c r="I108" s="3"/>
      <c r="J108" s="3"/>
      <c r="K108" s="2"/>
      <c r="L108" s="2"/>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x14ac:dyDescent="0.3">
      <c r="A109" s="3"/>
      <c r="B109" s="2"/>
      <c r="C109" s="3"/>
      <c r="D109" s="2"/>
      <c r="E109" s="3"/>
      <c r="F109" s="2"/>
      <c r="G109" s="3"/>
      <c r="H109" s="3"/>
      <c r="I109" s="3"/>
      <c r="J109" s="3"/>
      <c r="K109" s="2"/>
      <c r="L109" s="2"/>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x14ac:dyDescent="0.3">
      <c r="A110" s="3"/>
      <c r="B110" s="2"/>
      <c r="C110" s="3"/>
      <c r="D110" s="2"/>
      <c r="E110" s="3"/>
      <c r="F110" s="2"/>
      <c r="G110" s="3"/>
      <c r="H110" s="3"/>
      <c r="I110" s="3"/>
      <c r="J110" s="3"/>
      <c r="K110" s="2"/>
      <c r="L110" s="2"/>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x14ac:dyDescent="0.3">
      <c r="A111" s="3"/>
      <c r="B111" s="2"/>
      <c r="C111" s="3"/>
      <c r="D111" s="2"/>
      <c r="E111" s="3"/>
      <c r="F111" s="2"/>
      <c r="G111" s="3"/>
      <c r="H111" s="3"/>
      <c r="I111" s="3"/>
      <c r="J111" s="3"/>
      <c r="K111" s="2"/>
      <c r="L111" s="2"/>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x14ac:dyDescent="0.3">
      <c r="A112" s="3"/>
      <c r="B112" s="2"/>
      <c r="C112" s="3"/>
      <c r="D112" s="2"/>
      <c r="E112" s="3"/>
      <c r="F112" s="2"/>
      <c r="G112" s="3"/>
      <c r="H112" s="3"/>
      <c r="I112" s="3"/>
      <c r="J112" s="3"/>
      <c r="K112" s="2"/>
      <c r="L112" s="2"/>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x14ac:dyDescent="0.3">
      <c r="A113" s="3"/>
      <c r="B113" s="2"/>
      <c r="C113" s="3"/>
      <c r="D113" s="2"/>
      <c r="E113" s="3"/>
      <c r="F113" s="2"/>
      <c r="G113" s="3"/>
      <c r="H113" s="3"/>
      <c r="I113" s="3"/>
      <c r="J113" s="3"/>
      <c r="K113" s="2"/>
      <c r="L113" s="2"/>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x14ac:dyDescent="0.3">
      <c r="A114" s="3"/>
      <c r="B114" s="2"/>
      <c r="C114" s="3"/>
      <c r="D114" s="2"/>
      <c r="E114" s="3"/>
      <c r="F114" s="2"/>
      <c r="G114" s="3"/>
      <c r="H114" s="3"/>
      <c r="I114" s="3"/>
      <c r="J114" s="3"/>
      <c r="K114" s="2"/>
      <c r="L114" s="2"/>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x14ac:dyDescent="0.3">
      <c r="A115" s="3"/>
      <c r="B115" s="2"/>
      <c r="C115" s="3"/>
      <c r="D115" s="2"/>
      <c r="E115" s="3"/>
      <c r="F115" s="2"/>
      <c r="G115" s="3"/>
      <c r="H115" s="3"/>
      <c r="I115" s="3"/>
      <c r="J115" s="3"/>
      <c r="K115" s="2"/>
      <c r="L115" s="2"/>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x14ac:dyDescent="0.3">
      <c r="A116" s="3"/>
      <c r="B116" s="2"/>
      <c r="C116" s="3"/>
      <c r="D116" s="2"/>
      <c r="E116" s="3"/>
      <c r="F116" s="2"/>
      <c r="G116" s="3"/>
      <c r="H116" s="3"/>
      <c r="I116" s="3"/>
      <c r="J116" s="3"/>
      <c r="K116" s="2"/>
      <c r="L116" s="2"/>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x14ac:dyDescent="0.3">
      <c r="A117" s="3"/>
      <c r="B117" s="2"/>
      <c r="C117" s="3"/>
      <c r="D117" s="2"/>
      <c r="E117" s="3"/>
      <c r="F117" s="2"/>
      <c r="G117" s="3"/>
      <c r="H117" s="3"/>
      <c r="I117" s="3"/>
      <c r="J117" s="3"/>
      <c r="K117" s="2"/>
      <c r="L117" s="2"/>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x14ac:dyDescent="0.3">
      <c r="A118" s="3"/>
      <c r="B118" s="2"/>
      <c r="C118" s="3"/>
      <c r="D118" s="2"/>
      <c r="E118" s="3"/>
      <c r="F118" s="2"/>
      <c r="G118" s="3"/>
      <c r="H118" s="3"/>
      <c r="I118" s="3"/>
      <c r="J118" s="3"/>
      <c r="K118" s="2"/>
      <c r="L118" s="2"/>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x14ac:dyDescent="0.3">
      <c r="A119" s="3"/>
      <c r="B119" s="2"/>
      <c r="C119" s="3"/>
      <c r="D119" s="2"/>
      <c r="E119" s="3"/>
      <c r="F119" s="2"/>
      <c r="G119" s="3"/>
      <c r="H119" s="3"/>
      <c r="I119" s="3"/>
      <c r="J119" s="3"/>
      <c r="K119" s="2"/>
      <c r="L119" s="2"/>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x14ac:dyDescent="0.3">
      <c r="A120" s="3"/>
      <c r="B120" s="2"/>
      <c r="C120" s="3"/>
      <c r="D120" s="2"/>
      <c r="E120" s="3"/>
      <c r="F120" s="2"/>
      <c r="G120" s="3"/>
      <c r="H120" s="3"/>
      <c r="I120" s="3"/>
      <c r="J120" s="3"/>
      <c r="K120" s="2"/>
      <c r="L120" s="2"/>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x14ac:dyDescent="0.3">
      <c r="A121" s="3"/>
      <c r="B121" s="2"/>
      <c r="C121" s="3"/>
      <c r="D121" s="2"/>
      <c r="E121" s="3"/>
      <c r="F121" s="2"/>
      <c r="G121" s="3"/>
      <c r="H121" s="3"/>
      <c r="I121" s="3"/>
      <c r="J121" s="3"/>
      <c r="K121" s="2"/>
      <c r="L121" s="2"/>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x14ac:dyDescent="0.3">
      <c r="A122" s="3"/>
      <c r="B122" s="2"/>
      <c r="C122" s="3"/>
      <c r="D122" s="2"/>
      <c r="E122" s="3"/>
      <c r="F122" s="2"/>
      <c r="G122" s="3"/>
      <c r="H122" s="3"/>
      <c r="I122" s="3"/>
      <c r="J122" s="3"/>
      <c r="K122" s="2"/>
      <c r="L122" s="2"/>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x14ac:dyDescent="0.3">
      <c r="A123" s="3"/>
      <c r="B123" s="2"/>
      <c r="C123" s="3"/>
      <c r="D123" s="2"/>
      <c r="E123" s="3"/>
      <c r="F123" s="2"/>
      <c r="G123" s="3"/>
      <c r="H123" s="3"/>
      <c r="I123" s="3"/>
      <c r="J123" s="3"/>
      <c r="K123" s="2"/>
      <c r="L123" s="2"/>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x14ac:dyDescent="0.3">
      <c r="A124" s="3"/>
      <c r="B124" s="2"/>
      <c r="C124" s="3"/>
      <c r="D124" s="2"/>
      <c r="E124" s="3"/>
      <c r="F124" s="2"/>
      <c r="G124" s="3"/>
      <c r="H124" s="3"/>
      <c r="I124" s="3"/>
      <c r="J124" s="3"/>
      <c r="K124" s="2"/>
      <c r="L124" s="2"/>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x14ac:dyDescent="0.3">
      <c r="A125" s="3"/>
      <c r="B125" s="2"/>
      <c r="C125" s="3"/>
      <c r="D125" s="2"/>
      <c r="E125" s="3"/>
      <c r="F125" s="2"/>
      <c r="G125" s="3"/>
      <c r="H125" s="3"/>
      <c r="I125" s="3"/>
      <c r="J125" s="3"/>
      <c r="K125" s="2"/>
      <c r="L125" s="2"/>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x14ac:dyDescent="0.3">
      <c r="A126" s="3"/>
      <c r="B126" s="2"/>
      <c r="C126" s="3"/>
      <c r="D126" s="2"/>
      <c r="E126" s="3"/>
      <c r="F126" s="2"/>
      <c r="G126" s="3"/>
      <c r="H126" s="3"/>
      <c r="I126" s="3"/>
      <c r="J126" s="3"/>
      <c r="K126" s="2"/>
      <c r="L126" s="2"/>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x14ac:dyDescent="0.3">
      <c r="A127" s="3"/>
      <c r="B127" s="2"/>
      <c r="C127" s="3"/>
      <c r="D127" s="2"/>
      <c r="E127" s="3"/>
      <c r="F127" s="2"/>
      <c r="G127" s="3"/>
      <c r="H127" s="3"/>
      <c r="I127" s="3"/>
      <c r="J127" s="3"/>
      <c r="K127" s="2"/>
      <c r="L127" s="2"/>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x14ac:dyDescent="0.3">
      <c r="A128" s="3"/>
      <c r="B128" s="2"/>
      <c r="C128" s="3"/>
      <c r="D128" s="2"/>
      <c r="E128" s="3"/>
      <c r="F128" s="2"/>
      <c r="G128" s="3"/>
      <c r="H128" s="3"/>
      <c r="I128" s="3"/>
      <c r="J128" s="3"/>
      <c r="K128" s="2"/>
      <c r="L128" s="2"/>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x14ac:dyDescent="0.3">
      <c r="A129" s="3"/>
      <c r="B129" s="2"/>
      <c r="C129" s="3"/>
      <c r="D129" s="2"/>
      <c r="E129" s="3"/>
      <c r="F129" s="2"/>
      <c r="G129" s="3"/>
      <c r="H129" s="3"/>
      <c r="I129" s="3"/>
      <c r="J129" s="3"/>
      <c r="K129" s="2"/>
      <c r="L129" s="2"/>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x14ac:dyDescent="0.3">
      <c r="A130" s="3"/>
      <c r="B130" s="2"/>
      <c r="C130" s="3"/>
      <c r="D130" s="2"/>
      <c r="E130" s="3"/>
      <c r="F130" s="2"/>
      <c r="G130" s="3"/>
      <c r="H130" s="3"/>
      <c r="I130" s="3"/>
      <c r="J130" s="3"/>
      <c r="K130" s="2"/>
      <c r="L130" s="2"/>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x14ac:dyDescent="0.3">
      <c r="A131" s="3"/>
      <c r="B131" s="2"/>
      <c r="C131" s="3"/>
      <c r="D131" s="2"/>
      <c r="E131" s="3"/>
      <c r="F131" s="2"/>
      <c r="G131" s="3"/>
      <c r="H131" s="3"/>
      <c r="I131" s="3"/>
      <c r="J131" s="3"/>
      <c r="K131" s="2"/>
      <c r="L131" s="2"/>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x14ac:dyDescent="0.3">
      <c r="A132" s="3"/>
      <c r="B132" s="2"/>
      <c r="C132" s="3"/>
      <c r="D132" s="2"/>
      <c r="E132" s="3"/>
      <c r="F132" s="2"/>
      <c r="G132" s="3"/>
      <c r="H132" s="3"/>
      <c r="I132" s="3"/>
      <c r="J132" s="3"/>
      <c r="K132" s="2"/>
      <c r="L132" s="2"/>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x14ac:dyDescent="0.3">
      <c r="A133" s="3"/>
      <c r="B133" s="2"/>
      <c r="C133" s="3"/>
      <c r="D133" s="2"/>
      <c r="E133" s="3"/>
      <c r="F133" s="2"/>
      <c r="G133" s="3"/>
      <c r="H133" s="3"/>
      <c r="I133" s="3"/>
      <c r="J133" s="3"/>
      <c r="K133" s="2"/>
      <c r="L133" s="2"/>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x14ac:dyDescent="0.3">
      <c r="A134" s="3"/>
      <c r="B134" s="2"/>
      <c r="C134" s="3"/>
      <c r="D134" s="2"/>
      <c r="E134" s="3"/>
      <c r="F134" s="2"/>
      <c r="G134" s="3"/>
      <c r="H134" s="3"/>
      <c r="I134" s="3"/>
      <c r="J134" s="3"/>
      <c r="K134" s="2"/>
      <c r="L134" s="2"/>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x14ac:dyDescent="0.3">
      <c r="A135" s="3"/>
      <c r="B135" s="2"/>
      <c r="C135" s="3"/>
      <c r="D135" s="2"/>
      <c r="E135" s="3"/>
      <c r="F135" s="2"/>
      <c r="G135" s="3"/>
      <c r="H135" s="3"/>
      <c r="I135" s="3"/>
      <c r="J135" s="3"/>
      <c r="K135" s="2"/>
      <c r="L135" s="2"/>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x14ac:dyDescent="0.3">
      <c r="A136" s="3"/>
      <c r="B136" s="2"/>
      <c r="C136" s="3"/>
      <c r="D136" s="2"/>
      <c r="E136" s="3"/>
      <c r="F136" s="2"/>
      <c r="G136" s="3"/>
      <c r="H136" s="3"/>
      <c r="I136" s="3"/>
      <c r="J136" s="3"/>
      <c r="K136" s="2"/>
      <c r="L136" s="2"/>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x14ac:dyDescent="0.3">
      <c r="A137" s="3"/>
      <c r="B137" s="2"/>
      <c r="C137" s="3"/>
      <c r="D137" s="2"/>
      <c r="E137" s="3"/>
      <c r="F137" s="2"/>
      <c r="G137" s="3"/>
      <c r="H137" s="3"/>
      <c r="I137" s="3"/>
      <c r="J137" s="3"/>
      <c r="K137" s="2"/>
      <c r="L137" s="2"/>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x14ac:dyDescent="0.3">
      <c r="A138" s="3"/>
      <c r="B138" s="2"/>
      <c r="C138" s="3"/>
      <c r="D138" s="2"/>
      <c r="E138" s="3"/>
      <c r="F138" s="2"/>
      <c r="G138" s="3"/>
      <c r="H138" s="3"/>
      <c r="I138" s="3"/>
      <c r="J138" s="3"/>
      <c r="K138" s="2"/>
      <c r="L138" s="2"/>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x14ac:dyDescent="0.3">
      <c r="A139" s="3"/>
      <c r="B139" s="2"/>
      <c r="C139" s="3"/>
      <c r="D139" s="2"/>
      <c r="E139" s="3"/>
      <c r="F139" s="2"/>
      <c r="G139" s="3"/>
      <c r="H139" s="3"/>
      <c r="I139" s="3"/>
      <c r="J139" s="3"/>
      <c r="K139" s="2"/>
      <c r="L139" s="2"/>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x14ac:dyDescent="0.3">
      <c r="A140" s="3"/>
      <c r="B140" s="2"/>
      <c r="C140" s="3"/>
      <c r="D140" s="2"/>
      <c r="E140" s="3"/>
      <c r="F140" s="2"/>
      <c r="G140" s="3"/>
      <c r="H140" s="3"/>
      <c r="I140" s="3"/>
      <c r="J140" s="3"/>
      <c r="K140" s="2"/>
      <c r="L140" s="2"/>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x14ac:dyDescent="0.3">
      <c r="A141" s="3"/>
      <c r="B141" s="2"/>
      <c r="C141" s="3"/>
      <c r="D141" s="2"/>
      <c r="E141" s="3"/>
      <c r="F141" s="2"/>
      <c r="G141" s="3"/>
      <c r="H141" s="3"/>
      <c r="I141" s="3"/>
      <c r="J141" s="3"/>
      <c r="K141" s="2"/>
      <c r="L141" s="2"/>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x14ac:dyDescent="0.3">
      <c r="A142" s="3"/>
      <c r="B142" s="2"/>
      <c r="C142" s="3"/>
      <c r="D142" s="2"/>
      <c r="E142" s="3"/>
      <c r="F142" s="2"/>
      <c r="G142" s="3"/>
      <c r="H142" s="3"/>
      <c r="I142" s="3"/>
      <c r="J142" s="3"/>
      <c r="K142" s="2"/>
      <c r="L142" s="2"/>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x14ac:dyDescent="0.3">
      <c r="A143" s="3"/>
      <c r="B143" s="2"/>
      <c r="C143" s="3"/>
      <c r="D143" s="2"/>
      <c r="E143" s="3"/>
      <c r="F143" s="2"/>
      <c r="G143" s="3"/>
      <c r="H143" s="3"/>
      <c r="I143" s="3"/>
      <c r="J143" s="3"/>
      <c r="K143" s="2"/>
      <c r="L143" s="2"/>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x14ac:dyDescent="0.3">
      <c r="A144" s="3"/>
      <c r="B144" s="2"/>
      <c r="C144" s="3"/>
      <c r="D144" s="2"/>
      <c r="E144" s="3"/>
      <c r="F144" s="2"/>
      <c r="G144" s="3"/>
      <c r="H144" s="3"/>
      <c r="I144" s="3"/>
      <c r="J144" s="3"/>
      <c r="K144" s="2"/>
      <c r="L144" s="2"/>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x14ac:dyDescent="0.3">
      <c r="A145" s="3"/>
      <c r="B145" s="2"/>
      <c r="C145" s="3"/>
      <c r="D145" s="2"/>
      <c r="E145" s="3"/>
      <c r="F145" s="2"/>
      <c r="G145" s="3"/>
      <c r="H145" s="3"/>
      <c r="I145" s="3"/>
      <c r="J145" s="3"/>
      <c r="K145" s="2"/>
      <c r="L145" s="2"/>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row r="146" spans="1:38" x14ac:dyDescent="0.3">
      <c r="A146" s="3"/>
      <c r="B146" s="2"/>
      <c r="C146" s="3"/>
      <c r="D146" s="2"/>
      <c r="E146" s="3"/>
      <c r="F146" s="2"/>
      <c r="G146" s="3"/>
      <c r="H146" s="3"/>
      <c r="I146" s="3"/>
      <c r="J146" s="3"/>
      <c r="K146" s="2"/>
      <c r="L146" s="2"/>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row>
    <row r="147" spans="1:38" x14ac:dyDescent="0.3">
      <c r="A147" s="3"/>
      <c r="B147" s="2"/>
      <c r="C147" s="3"/>
      <c r="D147" s="2"/>
      <c r="E147" s="3"/>
      <c r="F147" s="2"/>
      <c r="G147" s="3"/>
      <c r="H147" s="3"/>
      <c r="I147" s="3"/>
      <c r="J147" s="3"/>
      <c r="K147" s="2"/>
      <c r="L147" s="2"/>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row>
    <row r="148" spans="1:38" x14ac:dyDescent="0.3">
      <c r="A148" s="3"/>
      <c r="B148" s="2"/>
      <c r="C148" s="3"/>
      <c r="D148" s="2"/>
      <c r="E148" s="3"/>
      <c r="F148" s="2"/>
      <c r="G148" s="3"/>
      <c r="H148" s="3"/>
      <c r="I148" s="3"/>
      <c r="J148" s="3"/>
      <c r="K148" s="2"/>
      <c r="L148" s="2"/>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row>
    <row r="149" spans="1:38" x14ac:dyDescent="0.3">
      <c r="A149" s="3"/>
      <c r="B149" s="2"/>
      <c r="C149" s="3"/>
      <c r="D149" s="2"/>
      <c r="E149" s="3"/>
      <c r="F149" s="2"/>
      <c r="G149" s="3"/>
      <c r="H149" s="3"/>
      <c r="I149" s="3"/>
      <c r="J149" s="3"/>
      <c r="K149" s="2"/>
      <c r="L149" s="2"/>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row>
    <row r="150" spans="1:38" x14ac:dyDescent="0.3">
      <c r="A150" s="3"/>
      <c r="B150" s="2"/>
      <c r="C150" s="3"/>
      <c r="D150" s="2"/>
      <c r="E150" s="3"/>
      <c r="F150" s="2"/>
      <c r="G150" s="3"/>
      <c r="H150" s="3"/>
      <c r="I150" s="3"/>
      <c r="J150" s="3"/>
      <c r="K150" s="2"/>
      <c r="L150" s="2"/>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row>
    <row r="151" spans="1:38" x14ac:dyDescent="0.3">
      <c r="A151" s="3"/>
      <c r="B151" s="2"/>
      <c r="C151" s="3"/>
      <c r="D151" s="2"/>
      <c r="E151" s="3"/>
      <c r="F151" s="2"/>
      <c r="G151" s="3"/>
      <c r="H151" s="3"/>
      <c r="I151" s="3"/>
      <c r="J151" s="3"/>
      <c r="K151" s="2"/>
      <c r="L151" s="2"/>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row>
    <row r="152" spans="1:38" x14ac:dyDescent="0.3">
      <c r="A152" s="3"/>
      <c r="B152" s="2"/>
      <c r="C152" s="3"/>
      <c r="D152" s="2"/>
      <c r="E152" s="3"/>
      <c r="F152" s="2"/>
      <c r="G152" s="3"/>
      <c r="H152" s="3"/>
      <c r="I152" s="3"/>
      <c r="J152" s="3"/>
      <c r="K152" s="2"/>
      <c r="L152" s="2"/>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row>
    <row r="153" spans="1:38" x14ac:dyDescent="0.3">
      <c r="A153" s="3"/>
      <c r="B153" s="2"/>
      <c r="C153" s="3"/>
      <c r="D153" s="2"/>
      <c r="E153" s="3"/>
      <c r="F153" s="2"/>
      <c r="G153" s="3"/>
      <c r="H153" s="3"/>
      <c r="I153" s="3"/>
      <c r="J153" s="3"/>
      <c r="K153" s="2"/>
      <c r="L153" s="2"/>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row>
    <row r="154" spans="1:38" x14ac:dyDescent="0.3">
      <c r="A154" s="3"/>
      <c r="B154" s="2"/>
      <c r="C154" s="3"/>
      <c r="D154" s="2"/>
      <c r="E154" s="3"/>
      <c r="F154" s="2"/>
      <c r="G154" s="3"/>
      <c r="H154" s="3"/>
      <c r="I154" s="3"/>
      <c r="J154" s="3"/>
      <c r="K154" s="2"/>
      <c r="L154" s="2"/>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row>
    <row r="155" spans="1:38" x14ac:dyDescent="0.3">
      <c r="A155" s="3"/>
      <c r="B155" s="2"/>
      <c r="C155" s="3"/>
      <c r="D155" s="2"/>
      <c r="E155" s="3"/>
      <c r="F155" s="2"/>
      <c r="G155" s="3"/>
      <c r="H155" s="3"/>
      <c r="I155" s="3"/>
      <c r="J155" s="3"/>
      <c r="K155" s="2"/>
      <c r="L155" s="2"/>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row>
    <row r="156" spans="1:38" x14ac:dyDescent="0.3">
      <c r="A156" s="3"/>
      <c r="B156" s="2"/>
      <c r="C156" s="3"/>
      <c r="D156" s="2"/>
      <c r="E156" s="3"/>
      <c r="F156" s="2"/>
      <c r="G156" s="3"/>
      <c r="H156" s="3"/>
      <c r="I156" s="3"/>
      <c r="J156" s="3"/>
      <c r="K156" s="2"/>
      <c r="L156" s="2"/>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row>
    <row r="157" spans="1:38" x14ac:dyDescent="0.3">
      <c r="A157" s="3"/>
      <c r="B157" s="2"/>
      <c r="C157" s="3"/>
      <c r="D157" s="2"/>
      <c r="E157" s="3"/>
      <c r="F157" s="2"/>
      <c r="G157" s="3"/>
      <c r="H157" s="3"/>
      <c r="I157" s="3"/>
      <c r="J157" s="3"/>
      <c r="K157" s="2"/>
      <c r="L157" s="2"/>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row>
    <row r="158" spans="1:38" x14ac:dyDescent="0.3">
      <c r="A158" s="3"/>
      <c r="B158" s="2"/>
      <c r="C158" s="3"/>
      <c r="D158" s="2"/>
      <c r="E158" s="3"/>
      <c r="F158" s="2"/>
      <c r="G158" s="3"/>
      <c r="H158" s="3"/>
      <c r="I158" s="3"/>
      <c r="J158" s="3"/>
      <c r="K158" s="2"/>
      <c r="L158" s="2"/>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row>
    <row r="159" spans="1:38" x14ac:dyDescent="0.3">
      <c r="A159" s="3"/>
      <c r="B159" s="2"/>
      <c r="C159" s="3"/>
      <c r="D159" s="2"/>
      <c r="E159" s="3"/>
      <c r="F159" s="2"/>
      <c r="G159" s="3"/>
      <c r="H159" s="3"/>
      <c r="I159" s="3"/>
      <c r="J159" s="3"/>
      <c r="K159" s="2"/>
      <c r="L159" s="2"/>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row>
    <row r="160" spans="1:38" x14ac:dyDescent="0.3">
      <c r="A160" s="3"/>
      <c r="B160" s="2"/>
      <c r="C160" s="3"/>
      <c r="D160" s="2"/>
      <c r="E160" s="3"/>
      <c r="F160" s="2"/>
      <c r="G160" s="3"/>
      <c r="H160" s="3"/>
      <c r="I160" s="3"/>
      <c r="J160" s="3"/>
      <c r="K160" s="2"/>
      <c r="L160" s="2"/>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row>
    <row r="161" spans="1:38" x14ac:dyDescent="0.3">
      <c r="A161" s="3"/>
      <c r="B161" s="2"/>
      <c r="C161" s="3"/>
      <c r="D161" s="2"/>
      <c r="E161" s="3"/>
      <c r="F161" s="2"/>
      <c r="G161" s="3"/>
      <c r="H161" s="3"/>
      <c r="I161" s="3"/>
      <c r="J161" s="3"/>
      <c r="K161" s="2"/>
      <c r="L161" s="2"/>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row>
    <row r="162" spans="1:38" x14ac:dyDescent="0.3">
      <c r="A162" s="3"/>
      <c r="B162" s="2"/>
      <c r="C162" s="3"/>
      <c r="D162" s="2"/>
      <c r="E162" s="3"/>
      <c r="F162" s="2"/>
      <c r="G162" s="3"/>
      <c r="H162" s="3"/>
      <c r="I162" s="3"/>
      <c r="J162" s="3"/>
      <c r="K162" s="2"/>
      <c r="L162" s="2"/>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row>
    <row r="163" spans="1:38" x14ac:dyDescent="0.3">
      <c r="A163" s="3"/>
      <c r="B163" s="2"/>
      <c r="C163" s="3"/>
      <c r="D163" s="2"/>
      <c r="E163" s="3"/>
      <c r="F163" s="2"/>
      <c r="G163" s="3"/>
      <c r="H163" s="3"/>
      <c r="I163" s="3"/>
      <c r="J163" s="3"/>
      <c r="K163" s="2"/>
      <c r="L163" s="2"/>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row>
    <row r="164" spans="1:38" x14ac:dyDescent="0.3">
      <c r="A164" s="3"/>
      <c r="B164" s="2"/>
      <c r="C164" s="3"/>
      <c r="D164" s="2"/>
      <c r="E164" s="3"/>
      <c r="F164" s="2"/>
      <c r="G164" s="3"/>
      <c r="H164" s="3"/>
      <c r="I164" s="3"/>
      <c r="J164" s="3"/>
      <c r="K164" s="2"/>
      <c r="L164" s="2"/>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row>
    <row r="165" spans="1:38" x14ac:dyDescent="0.3">
      <c r="A165" s="3"/>
      <c r="B165" s="2"/>
      <c r="C165" s="3"/>
      <c r="D165" s="2"/>
      <c r="E165" s="3"/>
      <c r="F165" s="2"/>
      <c r="G165" s="3"/>
      <c r="H165" s="3"/>
      <c r="I165" s="3"/>
      <c r="J165" s="3"/>
      <c r="K165" s="2"/>
      <c r="L165" s="2"/>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row>
    <row r="166" spans="1:38" x14ac:dyDescent="0.3">
      <c r="A166" s="3"/>
      <c r="B166" s="2"/>
      <c r="C166" s="3"/>
      <c r="D166" s="2"/>
      <c r="E166" s="3"/>
      <c r="F166" s="2"/>
      <c r="G166" s="3"/>
      <c r="H166" s="3"/>
      <c r="I166" s="3"/>
      <c r="J166" s="3"/>
      <c r="K166" s="2"/>
      <c r="L166" s="2"/>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row>
    <row r="167" spans="1:38" x14ac:dyDescent="0.3">
      <c r="A167" s="3"/>
      <c r="B167" s="2"/>
      <c r="C167" s="3"/>
      <c r="D167" s="2"/>
      <c r="E167" s="3"/>
      <c r="F167" s="2"/>
      <c r="G167" s="3"/>
      <c r="H167" s="3"/>
      <c r="I167" s="3"/>
      <c r="J167" s="3"/>
      <c r="K167" s="2"/>
      <c r="L167" s="2"/>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row>
    <row r="168" spans="1:38" x14ac:dyDescent="0.3">
      <c r="A168" s="3"/>
      <c r="B168" s="2"/>
      <c r="C168" s="3"/>
      <c r="D168" s="2"/>
      <c r="E168" s="3"/>
      <c r="F168" s="2"/>
      <c r="G168" s="3"/>
      <c r="H168" s="3"/>
      <c r="I168" s="3"/>
      <c r="J168" s="3"/>
      <c r="K168" s="2"/>
      <c r="L168" s="2"/>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row>
    <row r="169" spans="1:38" x14ac:dyDescent="0.3">
      <c r="A169" s="3"/>
      <c r="B169" s="2"/>
      <c r="C169" s="3"/>
      <c r="D169" s="2"/>
      <c r="E169" s="3"/>
      <c r="F169" s="2"/>
      <c r="G169" s="3"/>
      <c r="H169" s="3"/>
      <c r="I169" s="3"/>
      <c r="J169" s="3"/>
      <c r="K169" s="2"/>
      <c r="L169" s="2"/>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row>
    <row r="170" spans="1:38" x14ac:dyDescent="0.3">
      <c r="A170" s="3"/>
      <c r="B170" s="2"/>
      <c r="C170" s="3"/>
      <c r="D170" s="2"/>
      <c r="E170" s="3"/>
      <c r="F170" s="2"/>
      <c r="G170" s="3"/>
      <c r="H170" s="3"/>
      <c r="I170" s="3"/>
      <c r="J170" s="3"/>
      <c r="K170" s="2"/>
      <c r="L170" s="2"/>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row>
    <row r="171" spans="1:38" x14ac:dyDescent="0.3">
      <c r="A171" s="3"/>
      <c r="B171" s="2"/>
      <c r="C171" s="3"/>
      <c r="D171" s="2"/>
      <c r="E171" s="3"/>
      <c r="F171" s="2"/>
      <c r="G171" s="3"/>
      <c r="H171" s="3"/>
      <c r="I171" s="3"/>
      <c r="J171" s="3"/>
      <c r="K171" s="2"/>
      <c r="L171" s="2"/>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row>
    <row r="172" spans="1:38" x14ac:dyDescent="0.3">
      <c r="A172" s="3"/>
      <c r="B172" s="2"/>
      <c r="C172" s="3"/>
      <c r="D172" s="2"/>
      <c r="E172" s="3"/>
      <c r="F172" s="2"/>
      <c r="G172" s="3"/>
      <c r="H172" s="3"/>
      <c r="I172" s="3"/>
      <c r="J172" s="3"/>
      <c r="K172" s="2"/>
      <c r="L172" s="2"/>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row>
    <row r="173" spans="1:38" x14ac:dyDescent="0.3">
      <c r="A173" s="3"/>
      <c r="B173" s="2"/>
      <c r="C173" s="3"/>
      <c r="D173" s="2"/>
      <c r="E173" s="3"/>
      <c r="F173" s="2"/>
      <c r="G173" s="3"/>
      <c r="H173" s="3"/>
      <c r="I173" s="3"/>
      <c r="J173" s="3"/>
      <c r="K173" s="2"/>
      <c r="L173" s="2"/>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row>
    <row r="174" spans="1:38" x14ac:dyDescent="0.3">
      <c r="A174" s="3"/>
      <c r="B174" s="2"/>
      <c r="C174" s="3"/>
      <c r="D174" s="2"/>
      <c r="E174" s="3"/>
      <c r="F174" s="2"/>
      <c r="G174" s="3"/>
      <c r="H174" s="3"/>
      <c r="I174" s="3"/>
      <c r="J174" s="3"/>
      <c r="K174" s="2"/>
      <c r="L174" s="2"/>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row>
    <row r="175" spans="1:38" x14ac:dyDescent="0.3">
      <c r="A175" s="3"/>
      <c r="B175" s="2"/>
      <c r="C175" s="3"/>
      <c r="D175" s="2"/>
      <c r="E175" s="3"/>
      <c r="F175" s="2"/>
      <c r="G175" s="3"/>
      <c r="H175" s="3"/>
      <c r="I175" s="3"/>
      <c r="J175" s="3"/>
      <c r="K175" s="2"/>
      <c r="L175" s="2"/>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row>
    <row r="176" spans="1:38" x14ac:dyDescent="0.3">
      <c r="A176" s="3"/>
      <c r="B176" s="2"/>
      <c r="C176" s="3"/>
      <c r="D176" s="2"/>
      <c r="E176" s="3"/>
      <c r="F176" s="2"/>
      <c r="G176" s="3"/>
      <c r="H176" s="3"/>
      <c r="I176" s="3"/>
      <c r="J176" s="3"/>
      <c r="K176" s="2"/>
      <c r="L176" s="2"/>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row>
    <row r="177" spans="1:38" x14ac:dyDescent="0.3">
      <c r="A177" s="3"/>
      <c r="B177" s="2"/>
      <c r="C177" s="3"/>
      <c r="D177" s="2"/>
      <c r="E177" s="3"/>
      <c r="F177" s="2"/>
      <c r="G177" s="3"/>
      <c r="H177" s="3"/>
      <c r="I177" s="3"/>
      <c r="J177" s="3"/>
      <c r="K177" s="2"/>
      <c r="L177" s="2"/>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row>
    <row r="178" spans="1:38" x14ac:dyDescent="0.3">
      <c r="A178" s="3"/>
      <c r="B178" s="2"/>
      <c r="C178" s="3"/>
      <c r="D178" s="2"/>
      <c r="E178" s="3"/>
      <c r="F178" s="2"/>
      <c r="G178" s="3"/>
      <c r="H178" s="3"/>
      <c r="I178" s="3"/>
      <c r="J178" s="3"/>
      <c r="K178" s="2"/>
      <c r="L178" s="2"/>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row>
    <row r="179" spans="1:38" x14ac:dyDescent="0.3">
      <c r="A179" s="3"/>
      <c r="B179" s="2"/>
      <c r="C179" s="3"/>
      <c r="D179" s="2"/>
      <c r="E179" s="3"/>
      <c r="F179" s="2"/>
      <c r="G179" s="3"/>
      <c r="H179" s="3"/>
      <c r="I179" s="3"/>
      <c r="J179" s="3"/>
      <c r="K179" s="2"/>
      <c r="L179" s="2"/>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row>
    <row r="180" spans="1:38" x14ac:dyDescent="0.3">
      <c r="A180" s="3"/>
      <c r="B180" s="2"/>
      <c r="C180" s="3"/>
      <c r="D180" s="2"/>
      <c r="E180" s="3"/>
      <c r="F180" s="2"/>
      <c r="G180" s="3"/>
      <c r="H180" s="3"/>
      <c r="I180" s="3"/>
      <c r="J180" s="3"/>
      <c r="K180" s="2"/>
      <c r="L180" s="2"/>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row>
    <row r="181" spans="1:38" x14ac:dyDescent="0.3">
      <c r="A181" s="3"/>
      <c r="B181" s="2"/>
      <c r="C181" s="3"/>
      <c r="D181" s="2"/>
      <c r="E181" s="3"/>
      <c r="F181" s="2"/>
      <c r="G181" s="3"/>
      <c r="H181" s="3"/>
      <c r="I181" s="3"/>
      <c r="J181" s="3"/>
      <c r="K181" s="2"/>
      <c r="L181" s="2"/>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row>
    <row r="182" spans="1:38" x14ac:dyDescent="0.3">
      <c r="A182" s="3"/>
      <c r="B182" s="2"/>
      <c r="C182" s="3"/>
      <c r="D182" s="2"/>
      <c r="E182" s="3"/>
      <c r="F182" s="2"/>
      <c r="G182" s="3"/>
      <c r="H182" s="3"/>
      <c r="I182" s="3"/>
      <c r="J182" s="3"/>
      <c r="K182" s="2"/>
      <c r="L182" s="2"/>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row>
    <row r="183" spans="1:38" x14ac:dyDescent="0.3">
      <c r="A183" s="3"/>
      <c r="B183" s="2"/>
      <c r="C183" s="3"/>
      <c r="D183" s="2"/>
      <c r="E183" s="3"/>
      <c r="F183" s="2"/>
      <c r="G183" s="3"/>
      <c r="H183" s="3"/>
      <c r="I183" s="3"/>
      <c r="J183" s="3"/>
      <c r="K183" s="2"/>
      <c r="L183" s="2"/>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row>
    <row r="184" spans="1:38" x14ac:dyDescent="0.3">
      <c r="A184" s="3"/>
      <c r="B184" s="2"/>
      <c r="C184" s="3"/>
      <c r="D184" s="2"/>
      <c r="E184" s="3"/>
      <c r="F184" s="2"/>
      <c r="G184" s="3"/>
      <c r="H184" s="3"/>
      <c r="I184" s="3"/>
      <c r="J184" s="3"/>
      <c r="K184" s="2"/>
      <c r="L184" s="2"/>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row>
    <row r="185" spans="1:38" x14ac:dyDescent="0.3">
      <c r="A185" s="3"/>
      <c r="B185" s="2"/>
      <c r="C185" s="3"/>
      <c r="D185" s="2"/>
      <c r="E185" s="3"/>
      <c r="F185" s="2"/>
      <c r="G185" s="3"/>
      <c r="H185" s="3"/>
      <c r="I185" s="3"/>
      <c r="J185" s="3"/>
      <c r="K185" s="2"/>
      <c r="L185" s="2"/>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row>
    <row r="186" spans="1:38" x14ac:dyDescent="0.3">
      <c r="A186" s="3"/>
      <c r="B186" s="2"/>
      <c r="C186" s="3"/>
      <c r="D186" s="2"/>
      <c r="E186" s="3"/>
      <c r="F186" s="2"/>
      <c r="G186" s="3"/>
      <c r="H186" s="3"/>
      <c r="I186" s="3"/>
      <c r="J186" s="3"/>
      <c r="K186" s="2"/>
      <c r="L186" s="2"/>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row>
    <row r="187" spans="1:38" x14ac:dyDescent="0.3">
      <c r="A187" s="3"/>
      <c r="B187" s="2"/>
      <c r="C187" s="3"/>
      <c r="D187" s="2"/>
      <c r="E187" s="3"/>
      <c r="F187" s="2"/>
      <c r="G187" s="3"/>
      <c r="H187" s="3"/>
      <c r="I187" s="3"/>
      <c r="J187" s="3"/>
      <c r="K187" s="2"/>
      <c r="L187" s="2"/>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row>
    <row r="188" spans="1:38" x14ac:dyDescent="0.3">
      <c r="A188" s="3"/>
      <c r="B188" s="2"/>
      <c r="C188" s="3"/>
      <c r="D188" s="2"/>
      <c r="E188" s="3"/>
      <c r="F188" s="2"/>
      <c r="G188" s="3"/>
      <c r="H188" s="3"/>
      <c r="I188" s="3"/>
      <c r="J188" s="3"/>
      <c r="K188" s="2"/>
      <c r="L188" s="2"/>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row>
    <row r="189" spans="1:38" x14ac:dyDescent="0.3">
      <c r="A189" s="3"/>
      <c r="B189" s="2"/>
      <c r="C189" s="3"/>
      <c r="D189" s="2"/>
      <c r="E189" s="3"/>
      <c r="F189" s="2"/>
      <c r="G189" s="3"/>
      <c r="H189" s="3"/>
      <c r="I189" s="3"/>
      <c r="J189" s="3"/>
      <c r="K189" s="2"/>
      <c r="L189" s="2"/>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row>
    <row r="190" spans="1:38" x14ac:dyDescent="0.3">
      <c r="A190" s="3"/>
      <c r="B190" s="2"/>
      <c r="C190" s="3"/>
      <c r="D190" s="2"/>
      <c r="E190" s="3"/>
      <c r="F190" s="2"/>
      <c r="G190" s="3"/>
      <c r="H190" s="3"/>
      <c r="I190" s="3"/>
      <c r="J190" s="3"/>
      <c r="K190" s="2"/>
      <c r="L190" s="2"/>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row>
    <row r="191" spans="1:38" x14ac:dyDescent="0.3">
      <c r="A191" s="3"/>
      <c r="B191" s="2"/>
      <c r="C191" s="3"/>
      <c r="D191" s="2"/>
      <c r="E191" s="3"/>
      <c r="F191" s="2"/>
      <c r="G191" s="3"/>
      <c r="H191" s="3"/>
      <c r="I191" s="3"/>
      <c r="J191" s="3"/>
      <c r="K191" s="2"/>
      <c r="L191" s="2"/>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row>
    <row r="192" spans="1:38" x14ac:dyDescent="0.3">
      <c r="A192" s="3"/>
      <c r="B192" s="2"/>
      <c r="C192" s="3"/>
      <c r="D192" s="2"/>
      <c r="E192" s="3"/>
      <c r="F192" s="2"/>
      <c r="G192" s="3"/>
      <c r="H192" s="3"/>
      <c r="I192" s="3"/>
      <c r="J192" s="3"/>
      <c r="K192" s="2"/>
      <c r="L192" s="2"/>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row>
    <row r="193" spans="1:38" x14ac:dyDescent="0.3">
      <c r="A193" s="3"/>
      <c r="B193" s="2"/>
      <c r="C193" s="3"/>
      <c r="D193" s="2"/>
      <c r="E193" s="3"/>
      <c r="F193" s="2"/>
      <c r="G193" s="3"/>
      <c r="H193" s="3"/>
      <c r="I193" s="3"/>
      <c r="J193" s="3"/>
      <c r="K193" s="2"/>
      <c r="L193" s="2"/>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row>
    <row r="194" spans="1:38" x14ac:dyDescent="0.3">
      <c r="A194" s="3"/>
      <c r="B194" s="2"/>
      <c r="C194" s="3"/>
      <c r="D194" s="2"/>
      <c r="E194" s="3"/>
      <c r="F194" s="2"/>
      <c r="G194" s="3"/>
      <c r="H194" s="3"/>
      <c r="I194" s="3"/>
      <c r="J194" s="3"/>
      <c r="K194" s="2"/>
      <c r="L194" s="2"/>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row>
    <row r="195" spans="1:38" x14ac:dyDescent="0.3">
      <c r="A195" s="3"/>
      <c r="B195" s="2"/>
      <c r="C195" s="3"/>
      <c r="D195" s="2"/>
      <c r="E195" s="3"/>
      <c r="F195" s="2"/>
      <c r="G195" s="3"/>
      <c r="H195" s="3"/>
      <c r="I195" s="3"/>
      <c r="J195" s="3"/>
      <c r="K195" s="2"/>
      <c r="L195" s="2"/>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row>
    <row r="196" spans="1:38" x14ac:dyDescent="0.3">
      <c r="A196" s="3"/>
      <c r="B196" s="2"/>
      <c r="C196" s="3"/>
      <c r="D196" s="2"/>
      <c r="E196" s="3"/>
      <c r="F196" s="2"/>
      <c r="G196" s="3"/>
      <c r="H196" s="3"/>
      <c r="I196" s="3"/>
      <c r="J196" s="3"/>
      <c r="K196" s="2"/>
      <c r="L196" s="2"/>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row>
    <row r="197" spans="1:38" x14ac:dyDescent="0.3">
      <c r="A197" s="3"/>
      <c r="B197" s="2"/>
      <c r="C197" s="3"/>
      <c r="D197" s="2"/>
      <c r="E197" s="3"/>
      <c r="F197" s="2"/>
      <c r="G197" s="3"/>
      <c r="H197" s="3"/>
      <c r="I197" s="3"/>
      <c r="J197" s="3"/>
      <c r="K197" s="2"/>
      <c r="L197" s="2"/>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row>
    <row r="198" spans="1:38" x14ac:dyDescent="0.3">
      <c r="A198" s="3"/>
      <c r="B198" s="2"/>
      <c r="C198" s="3"/>
      <c r="D198" s="2"/>
      <c r="E198" s="3"/>
      <c r="F198" s="2"/>
      <c r="G198" s="3"/>
      <c r="H198" s="3"/>
      <c r="I198" s="3"/>
      <c r="J198" s="3"/>
      <c r="K198" s="2"/>
      <c r="L198" s="2"/>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row>
    <row r="199" spans="1:38" x14ac:dyDescent="0.3">
      <c r="A199" s="3"/>
      <c r="B199" s="2"/>
      <c r="C199" s="3"/>
      <c r="D199" s="2"/>
      <c r="E199" s="3"/>
      <c r="F199" s="2"/>
      <c r="G199" s="3"/>
      <c r="H199" s="3"/>
      <c r="I199" s="3"/>
      <c r="J199" s="3"/>
      <c r="K199" s="2"/>
      <c r="L199" s="2"/>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row>
    <row r="200" spans="1:38" x14ac:dyDescent="0.3">
      <c r="A200" s="3"/>
      <c r="B200" s="2"/>
      <c r="C200" s="3"/>
      <c r="D200" s="2"/>
      <c r="E200" s="3"/>
      <c r="F200" s="2"/>
      <c r="G200" s="3"/>
      <c r="H200" s="3"/>
      <c r="I200" s="3"/>
      <c r="J200" s="3"/>
      <c r="K200" s="2"/>
      <c r="L200" s="2"/>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row>
    <row r="201" spans="1:38" x14ac:dyDescent="0.3">
      <c r="A201" s="3"/>
      <c r="B201" s="2"/>
      <c r="C201" s="3"/>
      <c r="D201" s="2"/>
      <c r="E201" s="3"/>
      <c r="F201" s="2"/>
      <c r="G201" s="3"/>
      <c r="H201" s="3"/>
      <c r="I201" s="3"/>
      <c r="J201" s="3"/>
      <c r="K201" s="2"/>
      <c r="L201" s="2"/>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row>
    <row r="202" spans="1:38" x14ac:dyDescent="0.3">
      <c r="A202" s="3"/>
      <c r="B202" s="2"/>
      <c r="C202" s="3"/>
      <c r="D202" s="2"/>
      <c r="E202" s="3"/>
      <c r="F202" s="2"/>
      <c r="G202" s="3"/>
      <c r="H202" s="3"/>
      <c r="I202" s="3"/>
      <c r="J202" s="3"/>
      <c r="K202" s="2"/>
      <c r="L202" s="2"/>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row>
    <row r="203" spans="1:38" x14ac:dyDescent="0.3">
      <c r="A203" s="3"/>
      <c r="B203" s="2"/>
      <c r="C203" s="3"/>
      <c r="D203" s="2"/>
      <c r="E203" s="3"/>
      <c r="F203" s="2"/>
      <c r="G203" s="3"/>
      <c r="H203" s="3"/>
      <c r="I203" s="3"/>
      <c r="J203" s="3"/>
      <c r="K203" s="2"/>
      <c r="L203" s="2"/>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row>
    <row r="204" spans="1:38" x14ac:dyDescent="0.3">
      <c r="A204" s="3"/>
      <c r="B204" s="2"/>
      <c r="C204" s="3"/>
      <c r="D204" s="2"/>
      <c r="E204" s="3"/>
      <c r="F204" s="2"/>
      <c r="G204" s="3"/>
      <c r="H204" s="3"/>
      <c r="I204" s="3"/>
      <c r="J204" s="3"/>
      <c r="K204" s="2"/>
      <c r="L204" s="2"/>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row>
    <row r="205" spans="1:38" x14ac:dyDescent="0.3">
      <c r="A205" s="3"/>
      <c r="B205" s="2"/>
      <c r="C205" s="3"/>
      <c r="D205" s="2"/>
      <c r="E205" s="3"/>
      <c r="F205" s="2"/>
      <c r="G205" s="3"/>
      <c r="H205" s="3"/>
      <c r="I205" s="3"/>
      <c r="J205" s="3"/>
      <c r="K205" s="2"/>
      <c r="L205" s="2"/>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row>
    <row r="206" spans="1:38" x14ac:dyDescent="0.3">
      <c r="A206" s="3"/>
      <c r="B206" s="2"/>
      <c r="C206" s="3"/>
      <c r="D206" s="2"/>
      <c r="E206" s="3"/>
      <c r="F206" s="2"/>
      <c r="G206" s="3"/>
      <c r="H206" s="3"/>
      <c r="I206" s="3"/>
      <c r="J206" s="3"/>
      <c r="K206" s="2"/>
      <c r="L206" s="2"/>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row>
    <row r="207" spans="1:38" x14ac:dyDescent="0.3">
      <c r="A207" s="3"/>
      <c r="B207" s="2"/>
      <c r="C207" s="3"/>
      <c r="D207" s="2"/>
      <c r="E207" s="3"/>
      <c r="F207" s="2"/>
      <c r="G207" s="3"/>
      <c r="H207" s="3"/>
      <c r="I207" s="3"/>
      <c r="J207" s="3"/>
      <c r="K207" s="2"/>
      <c r="L207" s="2"/>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row>
    <row r="208" spans="1:38" x14ac:dyDescent="0.3">
      <c r="A208" s="3"/>
      <c r="B208" s="2"/>
      <c r="C208" s="3"/>
      <c r="D208" s="2"/>
      <c r="E208" s="3"/>
      <c r="F208" s="2"/>
      <c r="G208" s="3"/>
      <c r="H208" s="3"/>
      <c r="I208" s="3"/>
      <c r="J208" s="3"/>
      <c r="K208" s="2"/>
      <c r="L208" s="2"/>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row>
    <row r="209" spans="1:38" x14ac:dyDescent="0.3">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row>
    <row r="210" spans="1:38" x14ac:dyDescent="0.3">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row>
    <row r="211" spans="1:38" x14ac:dyDescent="0.3">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row>
    <row r="212" spans="1:38" x14ac:dyDescent="0.3">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row>
    <row r="213" spans="1:38" x14ac:dyDescent="0.3">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row>
    <row r="214" spans="1:38" x14ac:dyDescent="0.3">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row>
    <row r="215" spans="1:38" x14ac:dyDescent="0.3">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row>
    <row r="216" spans="1:38" x14ac:dyDescent="0.3">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row>
    <row r="217" spans="1:38" x14ac:dyDescent="0.3">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row>
    <row r="218" spans="1:38" x14ac:dyDescent="0.3">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row>
    <row r="219" spans="1:38" x14ac:dyDescent="0.3">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row>
    <row r="220" spans="1:38" x14ac:dyDescent="0.3">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row>
    <row r="221" spans="1:38" x14ac:dyDescent="0.3">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row>
    <row r="222" spans="1:38" x14ac:dyDescent="0.3">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row>
    <row r="223" spans="1:38" x14ac:dyDescent="0.3">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row>
    <row r="224" spans="1:38" x14ac:dyDescent="0.3">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row>
    <row r="225" spans="1:38" x14ac:dyDescent="0.3">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row>
    <row r="226" spans="1:38" x14ac:dyDescent="0.3">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row>
    <row r="227" spans="1:38" x14ac:dyDescent="0.3">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row>
    <row r="228" spans="1:38" x14ac:dyDescent="0.3">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row>
    <row r="229" spans="1:38" x14ac:dyDescent="0.3">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row>
    <row r="230" spans="1:38" x14ac:dyDescent="0.3">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row>
    <row r="231" spans="1:38" x14ac:dyDescent="0.3">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row>
    <row r="232" spans="1:38" x14ac:dyDescent="0.3">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row>
    <row r="233" spans="1:38" x14ac:dyDescent="0.3">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row>
    <row r="234" spans="1:38" x14ac:dyDescent="0.3">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row>
    <row r="235" spans="1:38" x14ac:dyDescent="0.3">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row>
    <row r="236" spans="1:38" x14ac:dyDescent="0.3">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row>
    <row r="237" spans="1:38" x14ac:dyDescent="0.3">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row>
    <row r="238" spans="1:38" x14ac:dyDescent="0.3">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row>
    <row r="239" spans="1:38" x14ac:dyDescent="0.3">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row>
    <row r="240" spans="1:38" x14ac:dyDescent="0.3">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row>
    <row r="241" spans="1:38" x14ac:dyDescent="0.3">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row>
    <row r="242" spans="1:38" x14ac:dyDescent="0.3">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row>
    <row r="243" spans="1:38" x14ac:dyDescent="0.3">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row>
    <row r="244" spans="1:38" x14ac:dyDescent="0.3">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row>
    <row r="245" spans="1:38" x14ac:dyDescent="0.3">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row>
    <row r="246" spans="1:38" x14ac:dyDescent="0.3">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row>
    <row r="247" spans="1:38" x14ac:dyDescent="0.3">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row>
    <row r="248" spans="1:38" x14ac:dyDescent="0.3">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row>
    <row r="249" spans="1:38" x14ac:dyDescent="0.3">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row>
    <row r="250" spans="1:38" x14ac:dyDescent="0.3">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row>
    <row r="251" spans="1:38" x14ac:dyDescent="0.3">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row>
    <row r="252" spans="1:38" x14ac:dyDescent="0.3">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row>
    <row r="253" spans="1:38" x14ac:dyDescent="0.3">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row>
    <row r="254" spans="1:38" x14ac:dyDescent="0.3">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row>
    <row r="255" spans="1:38" x14ac:dyDescent="0.3">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row>
    <row r="256" spans="1:38" x14ac:dyDescent="0.3">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row>
    <row r="257" spans="1:38" x14ac:dyDescent="0.3">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row>
    <row r="258" spans="1:38" x14ac:dyDescent="0.3">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row>
    <row r="259" spans="1:38" x14ac:dyDescent="0.3">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row>
    <row r="260" spans="1:38" x14ac:dyDescent="0.3">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row>
    <row r="261" spans="1:38" x14ac:dyDescent="0.3">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row>
    <row r="262" spans="1:38" x14ac:dyDescent="0.3">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row>
    <row r="263" spans="1:38" x14ac:dyDescent="0.3">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row>
    <row r="264" spans="1:38" x14ac:dyDescent="0.3">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row>
    <row r="265" spans="1:38" x14ac:dyDescent="0.3">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row>
    <row r="266" spans="1:38" x14ac:dyDescent="0.3">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row>
    <row r="267" spans="1:38" x14ac:dyDescent="0.3">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row>
    <row r="268" spans="1:38" x14ac:dyDescent="0.3">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row>
    <row r="269" spans="1:38" x14ac:dyDescent="0.3">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row>
    <row r="270" spans="1:38" x14ac:dyDescent="0.3">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row>
    <row r="271" spans="1:38" x14ac:dyDescent="0.3">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row>
    <row r="272" spans="1:38" x14ac:dyDescent="0.3">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row>
    <row r="273" spans="1:38" x14ac:dyDescent="0.3">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row>
    <row r="274" spans="1:38" x14ac:dyDescent="0.3">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row>
    <row r="275" spans="1:38" x14ac:dyDescent="0.3">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row>
    <row r="276" spans="1:38" x14ac:dyDescent="0.3">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row>
    <row r="277" spans="1:38" x14ac:dyDescent="0.3">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row>
    <row r="278" spans="1:38" x14ac:dyDescent="0.3">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row>
    <row r="279" spans="1:38" x14ac:dyDescent="0.3">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row>
    <row r="280" spans="1:38" x14ac:dyDescent="0.3">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row>
    <row r="281" spans="1:38" x14ac:dyDescent="0.3">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row>
    <row r="282" spans="1:38" x14ac:dyDescent="0.3">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row>
    <row r="283" spans="1:38" x14ac:dyDescent="0.3">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row>
    <row r="284" spans="1:38" x14ac:dyDescent="0.3">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row>
    <row r="285" spans="1:38" x14ac:dyDescent="0.3">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row>
    <row r="286" spans="1:38" x14ac:dyDescent="0.3">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row>
    <row r="287" spans="1:38" x14ac:dyDescent="0.3">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row>
    <row r="288" spans="1:38" x14ac:dyDescent="0.3">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row>
    <row r="289" spans="1:38" x14ac:dyDescent="0.3">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row>
    <row r="290" spans="1:38" x14ac:dyDescent="0.3">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row>
    <row r="291" spans="1:38" x14ac:dyDescent="0.3">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row>
    <row r="292" spans="1:38" x14ac:dyDescent="0.3">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row>
    <row r="293" spans="1:38" x14ac:dyDescent="0.3">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row>
    <row r="294" spans="1:38" x14ac:dyDescent="0.3">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row>
    <row r="295" spans="1:38" x14ac:dyDescent="0.3">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row>
    <row r="296" spans="1:38" x14ac:dyDescent="0.3">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row>
    <row r="297" spans="1:38" x14ac:dyDescent="0.3">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row>
    <row r="298" spans="1:38" x14ac:dyDescent="0.3">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row>
    <row r="299" spans="1:38" x14ac:dyDescent="0.3">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row>
    <row r="300" spans="1:38" x14ac:dyDescent="0.3">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row>
    <row r="301" spans="1:38" x14ac:dyDescent="0.3">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row>
    <row r="302" spans="1:38" x14ac:dyDescent="0.3">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row>
    <row r="303" spans="1:38" x14ac:dyDescent="0.3">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row>
    <row r="304" spans="1:38" x14ac:dyDescent="0.3">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row>
    <row r="305" spans="1:38" x14ac:dyDescent="0.3">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row>
    <row r="306" spans="1:38" x14ac:dyDescent="0.3">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row>
    <row r="307" spans="1:38" x14ac:dyDescent="0.3">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row>
    <row r="308" spans="1:38" x14ac:dyDescent="0.3">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row>
    <row r="309" spans="1:38" x14ac:dyDescent="0.3">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row>
    <row r="310" spans="1:38" x14ac:dyDescent="0.3">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row>
    <row r="311" spans="1:38" x14ac:dyDescent="0.3">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row>
    <row r="312" spans="1:38" x14ac:dyDescent="0.3">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row>
    <row r="313" spans="1:38" x14ac:dyDescent="0.3">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row>
    <row r="314" spans="1:38" x14ac:dyDescent="0.3">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row>
    <row r="315" spans="1:38" x14ac:dyDescent="0.3">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row>
    <row r="316" spans="1:38" x14ac:dyDescent="0.3">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row>
    <row r="317" spans="1:38" x14ac:dyDescent="0.3">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row>
    <row r="318" spans="1:38" x14ac:dyDescent="0.3">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row>
    <row r="319" spans="1:38" x14ac:dyDescent="0.3">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row>
    <row r="320" spans="1:38" x14ac:dyDescent="0.3">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row>
    <row r="321" spans="1:38" x14ac:dyDescent="0.3">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row>
    <row r="322" spans="1:38" x14ac:dyDescent="0.3">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row>
    <row r="323" spans="1:38" x14ac:dyDescent="0.3">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row>
    <row r="324" spans="1:38" x14ac:dyDescent="0.3">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row>
    <row r="325" spans="1:38" x14ac:dyDescent="0.3">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row>
    <row r="326" spans="1:38" x14ac:dyDescent="0.3">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row>
    <row r="327" spans="1:38" x14ac:dyDescent="0.3">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row>
    <row r="328" spans="1:38" x14ac:dyDescent="0.3">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row>
    <row r="329" spans="1:38" x14ac:dyDescent="0.3">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row>
    <row r="330" spans="1:38" x14ac:dyDescent="0.3">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row>
    <row r="331" spans="1:38" x14ac:dyDescent="0.3">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row>
    <row r="332" spans="1:38" x14ac:dyDescent="0.3">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row>
    <row r="333" spans="1:38" x14ac:dyDescent="0.3">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row>
    <row r="334" spans="1:38" x14ac:dyDescent="0.3">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row>
    <row r="335" spans="1:38" x14ac:dyDescent="0.3">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row>
    <row r="336" spans="1:38" x14ac:dyDescent="0.3">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row>
    <row r="337" spans="1:38" x14ac:dyDescent="0.3">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row>
    <row r="338" spans="1:38" x14ac:dyDescent="0.3">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row>
    <row r="339" spans="1:38" x14ac:dyDescent="0.3">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row>
    <row r="340" spans="1:38" x14ac:dyDescent="0.3">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row>
    <row r="341" spans="1:38" x14ac:dyDescent="0.3">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row>
    <row r="342" spans="1:38" x14ac:dyDescent="0.3">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row>
    <row r="343" spans="1:38" x14ac:dyDescent="0.3">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row>
    <row r="344" spans="1:38" x14ac:dyDescent="0.3">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row>
    <row r="345" spans="1:38" x14ac:dyDescent="0.3">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row>
    <row r="346" spans="1:38" x14ac:dyDescent="0.3">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row>
    <row r="347" spans="1:38" x14ac:dyDescent="0.3">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row>
    <row r="348" spans="1:38" x14ac:dyDescent="0.3">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row>
    <row r="349" spans="1:38" x14ac:dyDescent="0.3">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row>
    <row r="350" spans="1:38" x14ac:dyDescent="0.3">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row>
    <row r="351" spans="1:38" x14ac:dyDescent="0.3">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row>
    <row r="352" spans="1:38" x14ac:dyDescent="0.3">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row>
    <row r="353" spans="1:38" x14ac:dyDescent="0.3">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row>
    <row r="354" spans="1:38" x14ac:dyDescent="0.3">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row>
    <row r="355" spans="1:38" x14ac:dyDescent="0.3">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row>
    <row r="356" spans="1:38" x14ac:dyDescent="0.3">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row>
    <row r="357" spans="1:38" x14ac:dyDescent="0.3">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row>
    <row r="358" spans="1:38" x14ac:dyDescent="0.3">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row>
    <row r="359" spans="1:38" x14ac:dyDescent="0.3">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row>
    <row r="360" spans="1:38" x14ac:dyDescent="0.3">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row>
    <row r="361" spans="1:38" x14ac:dyDescent="0.3">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row>
    <row r="362" spans="1:38" x14ac:dyDescent="0.3">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row>
    <row r="363" spans="1:38" x14ac:dyDescent="0.3">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row>
    <row r="364" spans="1:38" x14ac:dyDescent="0.3">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row>
    <row r="365" spans="1:38" x14ac:dyDescent="0.3">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row>
    <row r="366" spans="1:38" x14ac:dyDescent="0.3">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row>
    <row r="367" spans="1:38" x14ac:dyDescent="0.3">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row>
    <row r="368" spans="1:38" x14ac:dyDescent="0.3">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row>
    <row r="369" spans="1:38" x14ac:dyDescent="0.3">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row>
    <row r="370" spans="1:38" x14ac:dyDescent="0.3">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row>
    <row r="371" spans="1:38" x14ac:dyDescent="0.3">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row>
    <row r="372" spans="1:38" x14ac:dyDescent="0.3">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row>
    <row r="373" spans="1:38" x14ac:dyDescent="0.3">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row>
    <row r="374" spans="1:38" x14ac:dyDescent="0.3">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row>
    <row r="375" spans="1:38" x14ac:dyDescent="0.3">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row>
    <row r="376" spans="1:38" x14ac:dyDescent="0.3">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row>
    <row r="377" spans="1:38" x14ac:dyDescent="0.3">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row>
    <row r="378" spans="1:38" x14ac:dyDescent="0.3">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row>
    <row r="379" spans="1:38" x14ac:dyDescent="0.3">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row>
    <row r="380" spans="1:38" x14ac:dyDescent="0.3">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row>
    <row r="381" spans="1:38" x14ac:dyDescent="0.3">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row>
    <row r="382" spans="1:38" x14ac:dyDescent="0.3">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row>
    <row r="383" spans="1:38" x14ac:dyDescent="0.3">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row>
    <row r="384" spans="1:38" x14ac:dyDescent="0.3">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row>
    <row r="385" spans="1:38" x14ac:dyDescent="0.3">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row>
    <row r="386" spans="1:38" x14ac:dyDescent="0.3">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row>
    <row r="387" spans="1:38" x14ac:dyDescent="0.3">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row>
    <row r="388" spans="1:38" x14ac:dyDescent="0.3">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row>
    <row r="389" spans="1:38" x14ac:dyDescent="0.3">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row>
    <row r="390" spans="1:38" x14ac:dyDescent="0.3">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row>
    <row r="391" spans="1:38" x14ac:dyDescent="0.3">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row>
    <row r="392" spans="1:38" x14ac:dyDescent="0.3">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row>
    <row r="393" spans="1:38" x14ac:dyDescent="0.3">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row>
    <row r="394" spans="1:38" x14ac:dyDescent="0.3">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row>
    <row r="395" spans="1:38" x14ac:dyDescent="0.3">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row>
    <row r="396" spans="1:38" x14ac:dyDescent="0.3">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row>
    <row r="397" spans="1:38" x14ac:dyDescent="0.3">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row>
    <row r="398" spans="1:38" x14ac:dyDescent="0.3">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row>
    <row r="399" spans="1:38" x14ac:dyDescent="0.3">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row>
    <row r="400" spans="1:38" x14ac:dyDescent="0.3">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row>
    <row r="401" spans="1:38" x14ac:dyDescent="0.3">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row>
    <row r="402" spans="1:38" x14ac:dyDescent="0.3">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row>
    <row r="403" spans="1:38" x14ac:dyDescent="0.3">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row>
    <row r="404" spans="1:38" x14ac:dyDescent="0.3">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row>
    <row r="405" spans="1:38" x14ac:dyDescent="0.3">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row>
    <row r="406" spans="1:38" x14ac:dyDescent="0.3">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row>
    <row r="407" spans="1:38" x14ac:dyDescent="0.3">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row>
    <row r="408" spans="1:38" x14ac:dyDescent="0.3">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row>
    <row r="409" spans="1:38" x14ac:dyDescent="0.3">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row>
    <row r="410" spans="1:38" x14ac:dyDescent="0.3">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row>
    <row r="411" spans="1:38" x14ac:dyDescent="0.3">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row>
    <row r="412" spans="1:38" x14ac:dyDescent="0.3">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row>
    <row r="413" spans="1:38" x14ac:dyDescent="0.3">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row>
    <row r="414" spans="1:38" x14ac:dyDescent="0.3">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row>
    <row r="415" spans="1:38" x14ac:dyDescent="0.3">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row>
    <row r="416" spans="1:38" x14ac:dyDescent="0.3">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row>
    <row r="417" spans="1:38" x14ac:dyDescent="0.3">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row>
    <row r="418" spans="1:38" x14ac:dyDescent="0.3">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row>
    <row r="419" spans="1:38" x14ac:dyDescent="0.3">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row>
    <row r="420" spans="1:38" x14ac:dyDescent="0.3">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row>
    <row r="421" spans="1:38" x14ac:dyDescent="0.3">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row>
    <row r="422" spans="1:38" x14ac:dyDescent="0.3">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row>
    <row r="423" spans="1:38" x14ac:dyDescent="0.3">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row>
    <row r="424" spans="1:38" x14ac:dyDescent="0.3">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row>
    <row r="425" spans="1:38" x14ac:dyDescent="0.3">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row>
    <row r="426" spans="1:38" x14ac:dyDescent="0.3">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row>
    <row r="427" spans="1:38" x14ac:dyDescent="0.3">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row>
    <row r="428" spans="1:38" x14ac:dyDescent="0.3">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row>
    <row r="429" spans="1:38" x14ac:dyDescent="0.3">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row>
    <row r="430" spans="1:38" x14ac:dyDescent="0.3">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row>
    <row r="431" spans="1:38" x14ac:dyDescent="0.3">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row>
    <row r="432" spans="1:38" x14ac:dyDescent="0.3">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row>
    <row r="433" spans="1:38" x14ac:dyDescent="0.3">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row>
    <row r="434" spans="1:38" x14ac:dyDescent="0.3">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row>
    <row r="435" spans="1:38" x14ac:dyDescent="0.3">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row>
    <row r="436" spans="1:38" x14ac:dyDescent="0.3">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row>
    <row r="437" spans="1:38" x14ac:dyDescent="0.3">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row>
    <row r="438" spans="1:38" x14ac:dyDescent="0.3">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row>
    <row r="439" spans="1:38" x14ac:dyDescent="0.3">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row>
    <row r="440" spans="1:38" x14ac:dyDescent="0.3">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row>
    <row r="441" spans="1:38" x14ac:dyDescent="0.3">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row>
    <row r="442" spans="1:38" x14ac:dyDescent="0.3">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row>
    <row r="443" spans="1:38" x14ac:dyDescent="0.3">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row>
    <row r="444" spans="1:38" x14ac:dyDescent="0.3">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row>
    <row r="445" spans="1:38" x14ac:dyDescent="0.3">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row>
    <row r="446" spans="1:38" x14ac:dyDescent="0.3">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row>
    <row r="447" spans="1:38" x14ac:dyDescent="0.3">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row>
    <row r="448" spans="1:38" x14ac:dyDescent="0.3">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row>
    <row r="449" spans="1:38" x14ac:dyDescent="0.3">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row>
    <row r="450" spans="1:38" x14ac:dyDescent="0.3">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row>
    <row r="451" spans="1:38" x14ac:dyDescent="0.3">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row>
    <row r="452" spans="1:38" x14ac:dyDescent="0.3">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row>
    <row r="453" spans="1:38" x14ac:dyDescent="0.3">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row>
    <row r="454" spans="1:38" x14ac:dyDescent="0.3">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row>
    <row r="455" spans="1:38" x14ac:dyDescent="0.3">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row>
    <row r="456" spans="1:38" x14ac:dyDescent="0.3">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row>
    <row r="457" spans="1:38" x14ac:dyDescent="0.3">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row>
    <row r="458" spans="1:38" x14ac:dyDescent="0.3">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row>
    <row r="459" spans="1:38" x14ac:dyDescent="0.3">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row>
    <row r="460" spans="1:38" x14ac:dyDescent="0.3">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row>
    <row r="461" spans="1:38" x14ac:dyDescent="0.3">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row>
    <row r="462" spans="1:38" x14ac:dyDescent="0.3">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row>
    <row r="463" spans="1:38" x14ac:dyDescent="0.3">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row>
    <row r="464" spans="1:38" x14ac:dyDescent="0.3">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row>
    <row r="465" spans="1:38" x14ac:dyDescent="0.3">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row>
    <row r="466" spans="1:38" x14ac:dyDescent="0.3">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row>
    <row r="467" spans="1:38" x14ac:dyDescent="0.3">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row>
    <row r="468" spans="1:38" x14ac:dyDescent="0.3">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row>
    <row r="469" spans="1:38" x14ac:dyDescent="0.3">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row>
    <row r="470" spans="1:38" x14ac:dyDescent="0.3">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row>
    <row r="471" spans="1:38" x14ac:dyDescent="0.3">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row>
    <row r="472" spans="1:38" x14ac:dyDescent="0.3">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row>
    <row r="473" spans="1:38" x14ac:dyDescent="0.3">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row>
    <row r="474" spans="1:38" x14ac:dyDescent="0.3">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row>
    <row r="475" spans="1:38" x14ac:dyDescent="0.3">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row>
    <row r="476" spans="1:38" x14ac:dyDescent="0.3">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row>
    <row r="477" spans="1:38" x14ac:dyDescent="0.3">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row>
    <row r="478" spans="1:38" x14ac:dyDescent="0.3">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row>
    <row r="479" spans="1:38" x14ac:dyDescent="0.3">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row>
    <row r="480" spans="1:38" x14ac:dyDescent="0.3">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row>
    <row r="481" spans="1:38" x14ac:dyDescent="0.3">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row>
    <row r="482" spans="1:38" x14ac:dyDescent="0.3">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row>
    <row r="483" spans="1:38" x14ac:dyDescent="0.3">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row>
    <row r="484" spans="1:38" x14ac:dyDescent="0.3">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row>
    <row r="485" spans="1:38" x14ac:dyDescent="0.3">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row>
    <row r="486" spans="1:38" x14ac:dyDescent="0.3">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row>
    <row r="487" spans="1:38" x14ac:dyDescent="0.3">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row>
    <row r="488" spans="1:38" x14ac:dyDescent="0.3">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row>
    <row r="489" spans="1:38" x14ac:dyDescent="0.3">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row>
    <row r="490" spans="1:38" x14ac:dyDescent="0.3">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row>
    <row r="491" spans="1:38" x14ac:dyDescent="0.3">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row>
    <row r="492" spans="1:38" x14ac:dyDescent="0.3">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row>
    <row r="493" spans="1:38" x14ac:dyDescent="0.3">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row>
    <row r="494" spans="1:38" x14ac:dyDescent="0.3">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row>
    <row r="495" spans="1:38" x14ac:dyDescent="0.3">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row>
    <row r="496" spans="1:38" x14ac:dyDescent="0.3">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row>
    <row r="497" spans="1:38" x14ac:dyDescent="0.3">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row>
    <row r="498" spans="1:38" x14ac:dyDescent="0.3">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row>
    <row r="499" spans="1:38" x14ac:dyDescent="0.3">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row>
    <row r="500" spans="1:38" x14ac:dyDescent="0.3">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row>
    <row r="501" spans="1:38" x14ac:dyDescent="0.3">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row>
    <row r="502" spans="1:38" x14ac:dyDescent="0.3">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row>
    <row r="503" spans="1:38" x14ac:dyDescent="0.3">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row>
    <row r="504" spans="1:38" x14ac:dyDescent="0.3">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row>
    <row r="505" spans="1:38" x14ac:dyDescent="0.3">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row>
    <row r="506" spans="1:38" x14ac:dyDescent="0.3">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row>
    <row r="507" spans="1:38" x14ac:dyDescent="0.3">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row>
    <row r="508" spans="1:38" x14ac:dyDescent="0.3">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row>
    <row r="509" spans="1:38" x14ac:dyDescent="0.3">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row>
    <row r="510" spans="1:38" x14ac:dyDescent="0.3">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row>
    <row r="511" spans="1:38" x14ac:dyDescent="0.3">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row>
    <row r="512" spans="1:38" x14ac:dyDescent="0.3">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row>
    <row r="513" spans="1:38" x14ac:dyDescent="0.3">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row>
    <row r="514" spans="1:38" x14ac:dyDescent="0.3">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row>
    <row r="515" spans="1:38" x14ac:dyDescent="0.3">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row>
    <row r="516" spans="1:38" x14ac:dyDescent="0.3">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row>
    <row r="517" spans="1:38" x14ac:dyDescent="0.3">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row>
    <row r="518" spans="1:38" x14ac:dyDescent="0.3">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row>
    <row r="519" spans="1:38" x14ac:dyDescent="0.3">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row>
    <row r="520" spans="1:38" x14ac:dyDescent="0.3">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row>
    <row r="521" spans="1:38" x14ac:dyDescent="0.3">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row>
    <row r="522" spans="1:38" x14ac:dyDescent="0.3">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row>
    <row r="523" spans="1:38" x14ac:dyDescent="0.3">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row>
    <row r="524" spans="1:38" x14ac:dyDescent="0.3">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row>
    <row r="525" spans="1:38" x14ac:dyDescent="0.3">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row>
    <row r="526" spans="1:38" x14ac:dyDescent="0.3">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row>
    <row r="527" spans="1:38" x14ac:dyDescent="0.3">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row>
    <row r="528" spans="1:38" x14ac:dyDescent="0.3">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row>
    <row r="529" spans="1:38" x14ac:dyDescent="0.3">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row>
    <row r="530" spans="1:38" x14ac:dyDescent="0.3">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row>
    <row r="531" spans="1:38" x14ac:dyDescent="0.3">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row>
    <row r="532" spans="1:38" x14ac:dyDescent="0.3">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row>
    <row r="533" spans="1:38" x14ac:dyDescent="0.3">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row>
    <row r="534" spans="1:38" x14ac:dyDescent="0.3">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row>
    <row r="535" spans="1:38" x14ac:dyDescent="0.3">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row>
    <row r="536" spans="1:38" x14ac:dyDescent="0.3">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row>
    <row r="537" spans="1:38" x14ac:dyDescent="0.3">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row>
    <row r="538" spans="1:38" x14ac:dyDescent="0.3">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row>
    <row r="539" spans="1:38" x14ac:dyDescent="0.3">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row>
    <row r="540" spans="1:38" x14ac:dyDescent="0.3">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row>
    <row r="541" spans="1:38" x14ac:dyDescent="0.3">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row>
    <row r="542" spans="1:38" x14ac:dyDescent="0.3">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row>
    <row r="543" spans="1:38" x14ac:dyDescent="0.3">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row>
    <row r="544" spans="1:38" x14ac:dyDescent="0.3">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row>
    <row r="545" spans="1:38" x14ac:dyDescent="0.3">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row>
    <row r="546" spans="1:38" x14ac:dyDescent="0.3">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row>
    <row r="547" spans="1:38" x14ac:dyDescent="0.3">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row>
    <row r="548" spans="1:38" x14ac:dyDescent="0.3">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row>
    <row r="549" spans="1:38" x14ac:dyDescent="0.3">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row>
    <row r="550" spans="1:38" x14ac:dyDescent="0.3">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row>
    <row r="551" spans="1:38" x14ac:dyDescent="0.3">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row>
    <row r="552" spans="1:38" x14ac:dyDescent="0.3">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row>
    <row r="553" spans="1:38" x14ac:dyDescent="0.3">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row>
    <row r="554" spans="1:38" x14ac:dyDescent="0.3">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row>
    <row r="555" spans="1:38" x14ac:dyDescent="0.3">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row>
    <row r="556" spans="1:38" x14ac:dyDescent="0.3">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row>
    <row r="557" spans="1:38" x14ac:dyDescent="0.3">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row>
    <row r="558" spans="1:38" x14ac:dyDescent="0.3">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row>
    <row r="559" spans="1:38" x14ac:dyDescent="0.3">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row>
    <row r="560" spans="1:38" x14ac:dyDescent="0.3">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row>
    <row r="561" spans="1:38" x14ac:dyDescent="0.3">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row>
    <row r="562" spans="1:38" x14ac:dyDescent="0.3">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row>
    <row r="563" spans="1:38" x14ac:dyDescent="0.3">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row>
    <row r="564" spans="1:38" x14ac:dyDescent="0.3">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row>
    <row r="565" spans="1:38" x14ac:dyDescent="0.3">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row>
    <row r="566" spans="1:38" x14ac:dyDescent="0.3">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row>
    <row r="567" spans="1:38" x14ac:dyDescent="0.3">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row>
    <row r="568" spans="1:38" x14ac:dyDescent="0.3">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row>
    <row r="569" spans="1:38" x14ac:dyDescent="0.3">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row>
    <row r="570" spans="1:38" x14ac:dyDescent="0.3">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row>
    <row r="571" spans="1:38" x14ac:dyDescent="0.3">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row>
    <row r="572" spans="1:38" x14ac:dyDescent="0.3">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row>
    <row r="573" spans="1:38" x14ac:dyDescent="0.3">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row>
    <row r="574" spans="1:38" x14ac:dyDescent="0.3">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row>
    <row r="575" spans="1:38" x14ac:dyDescent="0.3">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row>
    <row r="576" spans="1:38" x14ac:dyDescent="0.3">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row>
    <row r="577" spans="1:38" x14ac:dyDescent="0.3">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row>
    <row r="578" spans="1:38" x14ac:dyDescent="0.3">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row>
    <row r="579" spans="1:38" x14ac:dyDescent="0.3">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row>
    <row r="580" spans="1:38" x14ac:dyDescent="0.3">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row>
    <row r="581" spans="1:38" x14ac:dyDescent="0.3">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row>
    <row r="582" spans="1:38" x14ac:dyDescent="0.3">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row>
    <row r="583" spans="1:38" x14ac:dyDescent="0.3">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row>
    <row r="584" spans="1:38" x14ac:dyDescent="0.3">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row>
    <row r="585" spans="1:38" x14ac:dyDescent="0.3">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row>
    <row r="586" spans="1:38" x14ac:dyDescent="0.3">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row>
    <row r="587" spans="1:38" x14ac:dyDescent="0.3">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row>
    <row r="588" spans="1:38" x14ac:dyDescent="0.3">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row>
    <row r="589" spans="1:38" x14ac:dyDescent="0.3">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row>
    <row r="590" spans="1:38" x14ac:dyDescent="0.3">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row>
    <row r="591" spans="1:38" x14ac:dyDescent="0.3">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row>
    <row r="592" spans="1:38" x14ac:dyDescent="0.3">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row>
    <row r="593" spans="1:38" x14ac:dyDescent="0.3">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row>
    <row r="594" spans="1:38" x14ac:dyDescent="0.3">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row>
    <row r="595" spans="1:38" x14ac:dyDescent="0.3">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row>
    <row r="596" spans="1:38" x14ac:dyDescent="0.3">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row>
    <row r="597" spans="1:38" x14ac:dyDescent="0.3">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row>
    <row r="598" spans="1:38" x14ac:dyDescent="0.3">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row>
    <row r="599" spans="1:38" x14ac:dyDescent="0.3">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row>
    <row r="600" spans="1:38" x14ac:dyDescent="0.3">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row>
    <row r="601" spans="1:38" x14ac:dyDescent="0.3">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row>
    <row r="602" spans="1:38" x14ac:dyDescent="0.3">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row>
    <row r="603" spans="1:38" x14ac:dyDescent="0.3">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row>
    <row r="604" spans="1:38" x14ac:dyDescent="0.3">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row>
    <row r="605" spans="1:38" x14ac:dyDescent="0.3">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row>
    <row r="606" spans="1:38" x14ac:dyDescent="0.3">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row>
    <row r="607" spans="1:38" x14ac:dyDescent="0.3">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row>
    <row r="608" spans="1:38" x14ac:dyDescent="0.3">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row>
    <row r="609" spans="1:38" x14ac:dyDescent="0.3">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row>
    <row r="610" spans="1:38" x14ac:dyDescent="0.3">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row>
    <row r="611" spans="1:38" x14ac:dyDescent="0.3">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row>
    <row r="612" spans="1:38" x14ac:dyDescent="0.3">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row>
    <row r="613" spans="1:38" x14ac:dyDescent="0.3">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row>
    <row r="614" spans="1:38" x14ac:dyDescent="0.3">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row>
    <row r="615" spans="1:38" x14ac:dyDescent="0.3">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row>
    <row r="616" spans="1:38" x14ac:dyDescent="0.3">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row>
    <row r="617" spans="1:38" x14ac:dyDescent="0.3">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row>
    <row r="618" spans="1:38" x14ac:dyDescent="0.3">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row>
    <row r="619" spans="1:38" x14ac:dyDescent="0.3">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row>
    <row r="620" spans="1:38" x14ac:dyDescent="0.3">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row>
    <row r="621" spans="1:38" x14ac:dyDescent="0.3">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row>
    <row r="622" spans="1:38" x14ac:dyDescent="0.3">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row>
    <row r="623" spans="1:38" x14ac:dyDescent="0.3">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row>
    <row r="624" spans="1:38" x14ac:dyDescent="0.3">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row>
    <row r="625" spans="1:38" x14ac:dyDescent="0.3">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row>
    <row r="626" spans="1:38" x14ac:dyDescent="0.3">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row>
    <row r="627" spans="1:38" x14ac:dyDescent="0.3">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row>
    <row r="628" spans="1:38" x14ac:dyDescent="0.3">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row>
    <row r="629" spans="1:38" x14ac:dyDescent="0.3">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row>
    <row r="630" spans="1:38" x14ac:dyDescent="0.3">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row>
    <row r="631" spans="1:38" x14ac:dyDescent="0.3">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row>
    <row r="632" spans="1:38" x14ac:dyDescent="0.3">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row>
    <row r="633" spans="1:38" x14ac:dyDescent="0.3">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row>
    <row r="634" spans="1:38" x14ac:dyDescent="0.3">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row>
    <row r="635" spans="1:38" x14ac:dyDescent="0.3">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row>
    <row r="636" spans="1:38" x14ac:dyDescent="0.3">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row>
    <row r="637" spans="1:38" x14ac:dyDescent="0.3">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row>
    <row r="638" spans="1:38" x14ac:dyDescent="0.3">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row>
    <row r="639" spans="1:38" x14ac:dyDescent="0.3">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row>
    <row r="640" spans="1:38" x14ac:dyDescent="0.3">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row>
    <row r="641" spans="1:38" x14ac:dyDescent="0.3">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row>
    <row r="642" spans="1:38" x14ac:dyDescent="0.3">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row>
    <row r="643" spans="1:38" x14ac:dyDescent="0.3">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row>
    <row r="644" spans="1:38" x14ac:dyDescent="0.3">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row>
    <row r="645" spans="1:38" x14ac:dyDescent="0.3">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row>
    <row r="646" spans="1:38" x14ac:dyDescent="0.3">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row>
    <row r="647" spans="1:38" x14ac:dyDescent="0.3">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row>
    <row r="648" spans="1:38" x14ac:dyDescent="0.3">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row>
    <row r="649" spans="1:38" x14ac:dyDescent="0.3">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row>
    <row r="650" spans="1:38" x14ac:dyDescent="0.3">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row>
    <row r="651" spans="1:38" x14ac:dyDescent="0.3">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row>
    <row r="652" spans="1:38" x14ac:dyDescent="0.3">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row>
    <row r="653" spans="1:38" x14ac:dyDescent="0.3">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row>
    <row r="654" spans="1:38" x14ac:dyDescent="0.3">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row>
    <row r="655" spans="1:38" x14ac:dyDescent="0.3">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row>
    <row r="656" spans="1:38" x14ac:dyDescent="0.3">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row>
    <row r="657" spans="1:38" x14ac:dyDescent="0.3">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row>
    <row r="658" spans="1:38" x14ac:dyDescent="0.3">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row>
    <row r="659" spans="1:38" x14ac:dyDescent="0.3">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row>
    <row r="660" spans="1:38" x14ac:dyDescent="0.3">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row>
    <row r="661" spans="1:38" x14ac:dyDescent="0.3">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row>
    <row r="662" spans="1:38" x14ac:dyDescent="0.3">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row>
    <row r="663" spans="1:38" x14ac:dyDescent="0.3">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row>
    <row r="664" spans="1:38" x14ac:dyDescent="0.3">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row>
    <row r="665" spans="1:38" x14ac:dyDescent="0.3">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row>
    <row r="666" spans="1:38" x14ac:dyDescent="0.3">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row>
    <row r="667" spans="1:38" x14ac:dyDescent="0.3">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row>
    <row r="668" spans="1:38" x14ac:dyDescent="0.3">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row>
    <row r="669" spans="1:38" x14ac:dyDescent="0.3">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row>
    <row r="670" spans="1:38" x14ac:dyDescent="0.3">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row>
    <row r="671" spans="1:38" x14ac:dyDescent="0.3">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row>
    <row r="672" spans="1:38" x14ac:dyDescent="0.3">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row>
    <row r="673" spans="1:38" x14ac:dyDescent="0.3">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row>
    <row r="674" spans="1:38" x14ac:dyDescent="0.3">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row>
    <row r="675" spans="1:38" x14ac:dyDescent="0.3">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row>
    <row r="676" spans="1:38" x14ac:dyDescent="0.3">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row>
    <row r="677" spans="1:38" x14ac:dyDescent="0.3">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row>
    <row r="678" spans="1:38" x14ac:dyDescent="0.3">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row>
    <row r="679" spans="1:38" x14ac:dyDescent="0.3">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row>
    <row r="680" spans="1:38" x14ac:dyDescent="0.3">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row>
    <row r="681" spans="1:38" x14ac:dyDescent="0.3">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row>
    <row r="682" spans="1:38" x14ac:dyDescent="0.3">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row>
    <row r="683" spans="1:38" x14ac:dyDescent="0.3">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row>
    <row r="684" spans="1:38" x14ac:dyDescent="0.3">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row>
    <row r="685" spans="1:38" x14ac:dyDescent="0.3">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row>
    <row r="686" spans="1:38" x14ac:dyDescent="0.3">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row>
    <row r="687" spans="1:38" x14ac:dyDescent="0.3">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row>
    <row r="688" spans="1:38" x14ac:dyDescent="0.3">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row>
    <row r="689" spans="1:38" x14ac:dyDescent="0.3">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row>
    <row r="690" spans="1:38" x14ac:dyDescent="0.3">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row>
    <row r="691" spans="1:38" x14ac:dyDescent="0.3">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row>
    <row r="692" spans="1:38" x14ac:dyDescent="0.3">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row>
    <row r="693" spans="1:38" x14ac:dyDescent="0.3">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row>
    <row r="694" spans="1:38" x14ac:dyDescent="0.3">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row>
    <row r="695" spans="1:38" x14ac:dyDescent="0.3">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row>
    <row r="696" spans="1:38" x14ac:dyDescent="0.3">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row>
    <row r="697" spans="1:38" x14ac:dyDescent="0.3">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row>
    <row r="698" spans="1:38" x14ac:dyDescent="0.3">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row>
    <row r="699" spans="1:38" x14ac:dyDescent="0.3">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row>
    <row r="700" spans="1:38" x14ac:dyDescent="0.3">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row>
    <row r="701" spans="1:38" x14ac:dyDescent="0.3">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row>
    <row r="702" spans="1:38" x14ac:dyDescent="0.3">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row>
    <row r="703" spans="1:38" x14ac:dyDescent="0.3">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row>
    <row r="704" spans="1:38" x14ac:dyDescent="0.3">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row>
    <row r="705" spans="1:38" x14ac:dyDescent="0.3">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row>
    <row r="706" spans="1:38" x14ac:dyDescent="0.3">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row>
    <row r="707" spans="1:38" x14ac:dyDescent="0.3">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row>
    <row r="708" spans="1:38" x14ac:dyDescent="0.3">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row>
    <row r="709" spans="1:38" x14ac:dyDescent="0.3">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row>
    <row r="710" spans="1:38" x14ac:dyDescent="0.3">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row>
    <row r="711" spans="1:38" x14ac:dyDescent="0.3">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row>
    <row r="712" spans="1:38" x14ac:dyDescent="0.3">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row>
    <row r="713" spans="1:38" x14ac:dyDescent="0.3">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row>
    <row r="714" spans="1:38" x14ac:dyDescent="0.3">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row>
    <row r="715" spans="1:38" x14ac:dyDescent="0.3">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row>
    <row r="716" spans="1:38" x14ac:dyDescent="0.3">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row>
    <row r="717" spans="1:38" x14ac:dyDescent="0.3">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row>
    <row r="718" spans="1:38" x14ac:dyDescent="0.3">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row>
    <row r="719" spans="1:38" x14ac:dyDescent="0.3">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row>
    <row r="720" spans="1:38" x14ac:dyDescent="0.3">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row>
    <row r="721" spans="1:38" x14ac:dyDescent="0.3">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row>
    <row r="722" spans="1:38" x14ac:dyDescent="0.3">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row>
    <row r="723" spans="1:38" x14ac:dyDescent="0.3">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row>
    <row r="724" spans="1:38" x14ac:dyDescent="0.3">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row>
    <row r="725" spans="1:38" x14ac:dyDescent="0.3">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row>
    <row r="726" spans="1:38" x14ac:dyDescent="0.3">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row>
    <row r="727" spans="1:38" x14ac:dyDescent="0.3">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row>
    <row r="728" spans="1:38" x14ac:dyDescent="0.3">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row>
    <row r="729" spans="1:38" x14ac:dyDescent="0.3">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row>
    <row r="730" spans="1:38" x14ac:dyDescent="0.3">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row>
    <row r="731" spans="1:38" x14ac:dyDescent="0.3">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row>
    <row r="732" spans="1:38" x14ac:dyDescent="0.3">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row>
    <row r="733" spans="1:38" x14ac:dyDescent="0.3">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row>
    <row r="734" spans="1:38" x14ac:dyDescent="0.3">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row>
    <row r="735" spans="1:38" x14ac:dyDescent="0.3">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row>
    <row r="736" spans="1:38" x14ac:dyDescent="0.3">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row>
    <row r="737" spans="1:38" x14ac:dyDescent="0.3">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row>
    <row r="738" spans="1:38" x14ac:dyDescent="0.3">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row>
    <row r="739" spans="1:38" x14ac:dyDescent="0.3">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row>
    <row r="740" spans="1:38" x14ac:dyDescent="0.3">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row>
    <row r="741" spans="1:38" x14ac:dyDescent="0.3">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row>
    <row r="742" spans="1:38" x14ac:dyDescent="0.3">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row>
    <row r="743" spans="1:38" x14ac:dyDescent="0.3">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row>
    <row r="744" spans="1:38" x14ac:dyDescent="0.3">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row>
    <row r="745" spans="1:38" x14ac:dyDescent="0.3">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row>
    <row r="746" spans="1:38" x14ac:dyDescent="0.3">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row>
    <row r="747" spans="1:38" x14ac:dyDescent="0.3">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row>
    <row r="748" spans="1:38" x14ac:dyDescent="0.3">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row>
    <row r="749" spans="1:38" x14ac:dyDescent="0.3">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row>
    <row r="750" spans="1:38" x14ac:dyDescent="0.3">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row>
    <row r="751" spans="1:38" x14ac:dyDescent="0.3">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row>
    <row r="752" spans="1:38" x14ac:dyDescent="0.3">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row>
    <row r="753" spans="1:38" x14ac:dyDescent="0.3">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row>
    <row r="754" spans="1:38" x14ac:dyDescent="0.3">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row>
    <row r="755" spans="1:38" x14ac:dyDescent="0.3">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row>
    <row r="756" spans="1:38" x14ac:dyDescent="0.3">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row>
    <row r="757" spans="1:38" x14ac:dyDescent="0.3">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row>
    <row r="758" spans="1:38" x14ac:dyDescent="0.3">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row>
    <row r="759" spans="1:38" x14ac:dyDescent="0.3">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row>
    <row r="760" spans="1:38" x14ac:dyDescent="0.3">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row>
    <row r="761" spans="1:38" x14ac:dyDescent="0.3">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row>
    <row r="762" spans="1:38" x14ac:dyDescent="0.3">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row>
    <row r="763" spans="1:38" x14ac:dyDescent="0.3">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row>
    <row r="764" spans="1:38" x14ac:dyDescent="0.3">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row>
    <row r="765" spans="1:38" x14ac:dyDescent="0.3">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row>
    <row r="766" spans="1:38" x14ac:dyDescent="0.3">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row>
    <row r="767" spans="1:38" x14ac:dyDescent="0.3">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row>
    <row r="768" spans="1:38" x14ac:dyDescent="0.3">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row>
    <row r="769" spans="1:38" x14ac:dyDescent="0.3">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row>
    <row r="770" spans="1:38" x14ac:dyDescent="0.3">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row>
    <row r="771" spans="1:38" x14ac:dyDescent="0.3">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row>
    <row r="772" spans="1:38" x14ac:dyDescent="0.3">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row>
    <row r="773" spans="1:38" x14ac:dyDescent="0.3">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row>
    <row r="774" spans="1:38" x14ac:dyDescent="0.3">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row>
    <row r="775" spans="1:38" x14ac:dyDescent="0.3">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row>
    <row r="776" spans="1:38" x14ac:dyDescent="0.3">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row>
    <row r="777" spans="1:38" x14ac:dyDescent="0.3">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row>
    <row r="778" spans="1:38" x14ac:dyDescent="0.3">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row>
    <row r="779" spans="1:38" x14ac:dyDescent="0.3">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row>
    <row r="780" spans="1:38" x14ac:dyDescent="0.3">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row>
    <row r="781" spans="1:38" x14ac:dyDescent="0.3">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row>
    <row r="782" spans="1:38" x14ac:dyDescent="0.3">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row>
    <row r="783" spans="1:38" x14ac:dyDescent="0.3">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row>
    <row r="784" spans="1:38" x14ac:dyDescent="0.3">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row>
    <row r="785" spans="1:38" x14ac:dyDescent="0.3">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row>
    <row r="786" spans="1:38" x14ac:dyDescent="0.3">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row>
    <row r="787" spans="1:38" x14ac:dyDescent="0.3">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row>
    <row r="788" spans="1:38" x14ac:dyDescent="0.3">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row>
    <row r="789" spans="1:38" x14ac:dyDescent="0.3">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row>
    <row r="790" spans="1:38" x14ac:dyDescent="0.3">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row>
    <row r="791" spans="1:38" x14ac:dyDescent="0.3">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row>
    <row r="792" spans="1:38" x14ac:dyDescent="0.3">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row>
    <row r="793" spans="1:38" x14ac:dyDescent="0.3">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row>
    <row r="794" spans="1:38" x14ac:dyDescent="0.3">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row>
    <row r="795" spans="1:38" x14ac:dyDescent="0.3">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row>
    <row r="796" spans="1:38" x14ac:dyDescent="0.3">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row>
    <row r="797" spans="1:38" x14ac:dyDescent="0.3">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row>
    <row r="798" spans="1:38" x14ac:dyDescent="0.3">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row>
    <row r="799" spans="1:38" x14ac:dyDescent="0.3">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row>
    <row r="800" spans="1:38" x14ac:dyDescent="0.3">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row>
    <row r="801" spans="1:38" x14ac:dyDescent="0.3">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row>
    <row r="802" spans="1:38" x14ac:dyDescent="0.3">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row>
    <row r="803" spans="1:38" x14ac:dyDescent="0.3">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row>
    <row r="804" spans="1:38" x14ac:dyDescent="0.3">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row>
    <row r="805" spans="1:38" x14ac:dyDescent="0.3">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row>
    <row r="806" spans="1:38" x14ac:dyDescent="0.3">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row>
    <row r="807" spans="1:38" x14ac:dyDescent="0.3">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row>
    <row r="808" spans="1:38" x14ac:dyDescent="0.3">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row>
    <row r="809" spans="1:38" x14ac:dyDescent="0.3">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row>
    <row r="810" spans="1:38" x14ac:dyDescent="0.3">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row>
    <row r="811" spans="1:38" x14ac:dyDescent="0.3">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row>
    <row r="812" spans="1:38" x14ac:dyDescent="0.3">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row>
    <row r="813" spans="1:38" x14ac:dyDescent="0.3">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row>
    <row r="814" spans="1:38" x14ac:dyDescent="0.3">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row>
    <row r="815" spans="1:38" x14ac:dyDescent="0.3">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row>
    <row r="816" spans="1:38" x14ac:dyDescent="0.3">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row>
    <row r="817" spans="1:38" x14ac:dyDescent="0.3">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row>
    <row r="818" spans="1:38" x14ac:dyDescent="0.3">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row>
    <row r="819" spans="1:38" x14ac:dyDescent="0.3">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row>
    <row r="820" spans="1:38" x14ac:dyDescent="0.3">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row>
    <row r="821" spans="1:38" x14ac:dyDescent="0.3">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row>
    <row r="822" spans="1:38" x14ac:dyDescent="0.3">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row>
    <row r="823" spans="1:38" x14ac:dyDescent="0.3">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row>
    <row r="824" spans="1:38" x14ac:dyDescent="0.3">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row>
    <row r="825" spans="1:38" x14ac:dyDescent="0.3">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row>
    <row r="826" spans="1:38" x14ac:dyDescent="0.3">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row>
    <row r="827" spans="1:38" x14ac:dyDescent="0.3">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row>
    <row r="828" spans="1:38" x14ac:dyDescent="0.3">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row>
    <row r="829" spans="1:38" x14ac:dyDescent="0.3">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row>
    <row r="830" spans="1:38" x14ac:dyDescent="0.3">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row>
    <row r="831" spans="1:38" x14ac:dyDescent="0.3">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row>
    <row r="832" spans="1:38" x14ac:dyDescent="0.3">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row>
    <row r="833" spans="1:38" x14ac:dyDescent="0.3">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row>
    <row r="834" spans="1:38" x14ac:dyDescent="0.3">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row>
    <row r="835" spans="1:38" x14ac:dyDescent="0.3">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row>
    <row r="836" spans="1:38" x14ac:dyDescent="0.3">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row>
    <row r="837" spans="1:38" x14ac:dyDescent="0.3">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row>
    <row r="838" spans="1:38" x14ac:dyDescent="0.3">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row>
    <row r="839" spans="1:38" x14ac:dyDescent="0.3">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row>
    <row r="840" spans="1:38" x14ac:dyDescent="0.3">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row>
    <row r="841" spans="1:38" x14ac:dyDescent="0.3">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row>
    <row r="842" spans="1:38" x14ac:dyDescent="0.3">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row>
    <row r="843" spans="1:38" x14ac:dyDescent="0.3">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row>
    <row r="844" spans="1:38" x14ac:dyDescent="0.3">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row>
    <row r="845" spans="1:38" x14ac:dyDescent="0.3">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row>
    <row r="846" spans="1:38" x14ac:dyDescent="0.3">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row>
    <row r="847" spans="1:38" x14ac:dyDescent="0.3">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row>
    <row r="848" spans="1:38" x14ac:dyDescent="0.3">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row>
    <row r="849" spans="1:38" x14ac:dyDescent="0.3">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row>
    <row r="850" spans="1:38" x14ac:dyDescent="0.3">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row>
    <row r="851" spans="1:38" x14ac:dyDescent="0.3">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row>
    <row r="852" spans="1:38" x14ac:dyDescent="0.3">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row>
    <row r="853" spans="1:38" x14ac:dyDescent="0.3">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row>
    <row r="854" spans="1:38" x14ac:dyDescent="0.3">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row>
    <row r="855" spans="1:38" x14ac:dyDescent="0.3">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row>
    <row r="856" spans="1:38" x14ac:dyDescent="0.3">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row>
    <row r="857" spans="1:38" x14ac:dyDescent="0.3">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row>
    <row r="858" spans="1:38" x14ac:dyDescent="0.3">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row>
    <row r="859" spans="1:38" x14ac:dyDescent="0.3">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row>
    <row r="860" spans="1:38" x14ac:dyDescent="0.3">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row>
    <row r="861" spans="1:38" x14ac:dyDescent="0.3">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row>
    <row r="862" spans="1:38" x14ac:dyDescent="0.3">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row>
    <row r="863" spans="1:38" x14ac:dyDescent="0.3">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row>
    <row r="864" spans="1:38" x14ac:dyDescent="0.3">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row>
    <row r="865" spans="1:38" x14ac:dyDescent="0.3">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row>
    <row r="866" spans="1:38" x14ac:dyDescent="0.3">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row>
    <row r="867" spans="1:38" x14ac:dyDescent="0.3">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row>
    <row r="868" spans="1:38" x14ac:dyDescent="0.3">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row>
    <row r="869" spans="1:38" x14ac:dyDescent="0.3">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row>
    <row r="870" spans="1:38" x14ac:dyDescent="0.3">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row>
    <row r="871" spans="1:38" x14ac:dyDescent="0.3">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row>
    <row r="872" spans="1:38" x14ac:dyDescent="0.3">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row>
    <row r="873" spans="1:38" x14ac:dyDescent="0.3">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row>
    <row r="874" spans="1:38" x14ac:dyDescent="0.3">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row>
    <row r="875" spans="1:38" x14ac:dyDescent="0.3">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row>
    <row r="876" spans="1:38" x14ac:dyDescent="0.3">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row>
    <row r="877" spans="1:38" x14ac:dyDescent="0.3">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row>
    <row r="878" spans="1:38" x14ac:dyDescent="0.3">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row>
    <row r="879" spans="1:38" x14ac:dyDescent="0.3">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row>
    <row r="880" spans="1:38" x14ac:dyDescent="0.3">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row>
    <row r="881" spans="1:38" x14ac:dyDescent="0.3">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row>
    <row r="882" spans="1:38" x14ac:dyDescent="0.3">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row>
    <row r="883" spans="1:38" x14ac:dyDescent="0.3">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row>
    <row r="884" spans="1:38" x14ac:dyDescent="0.3">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row>
    <row r="885" spans="1:38" x14ac:dyDescent="0.3">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row>
    <row r="886" spans="1:38" x14ac:dyDescent="0.3">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row>
    <row r="887" spans="1:38" x14ac:dyDescent="0.3">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row>
    <row r="888" spans="1:38" x14ac:dyDescent="0.3">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row>
    <row r="889" spans="1:38" x14ac:dyDescent="0.3">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row>
    <row r="890" spans="1:38" x14ac:dyDescent="0.3">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row>
    <row r="891" spans="1:38" x14ac:dyDescent="0.3">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row>
    <row r="892" spans="1:38" x14ac:dyDescent="0.3">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row>
    <row r="893" spans="1:38" x14ac:dyDescent="0.3">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row>
    <row r="894" spans="1:38" x14ac:dyDescent="0.3">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row>
    <row r="895" spans="1:38" x14ac:dyDescent="0.3">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row>
    <row r="896" spans="1:38" x14ac:dyDescent="0.3">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row>
    <row r="897" spans="1:38" x14ac:dyDescent="0.3">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row>
    <row r="898" spans="1:38" x14ac:dyDescent="0.3">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row>
    <row r="899" spans="1:38" x14ac:dyDescent="0.3">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row>
    <row r="900" spans="1:38" x14ac:dyDescent="0.3">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row>
    <row r="901" spans="1:38" x14ac:dyDescent="0.3">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row>
    <row r="902" spans="1:38" x14ac:dyDescent="0.3">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row>
    <row r="903" spans="1:38" x14ac:dyDescent="0.3">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row>
    <row r="904" spans="1:38" x14ac:dyDescent="0.3">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row>
    <row r="905" spans="1:38" x14ac:dyDescent="0.3">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row>
    <row r="906" spans="1:38" x14ac:dyDescent="0.3">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row>
    <row r="907" spans="1:38" x14ac:dyDescent="0.3">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row>
    <row r="908" spans="1:38" x14ac:dyDescent="0.3">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row>
    <row r="909" spans="1:38" x14ac:dyDescent="0.3">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row>
    <row r="910" spans="1:38" x14ac:dyDescent="0.3">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row>
    <row r="911" spans="1:38" x14ac:dyDescent="0.3">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row>
    <row r="912" spans="1:38" x14ac:dyDescent="0.3">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row>
    <row r="913" spans="1:38" x14ac:dyDescent="0.3">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row>
    <row r="914" spans="1:38" x14ac:dyDescent="0.3">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row>
    <row r="915" spans="1:38" x14ac:dyDescent="0.3">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row>
    <row r="916" spans="1:38" x14ac:dyDescent="0.3">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row>
    <row r="917" spans="1:38" x14ac:dyDescent="0.3">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row>
    <row r="918" spans="1:38" x14ac:dyDescent="0.3">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row>
    <row r="919" spans="1:38" x14ac:dyDescent="0.3">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row>
    <row r="920" spans="1:38" x14ac:dyDescent="0.3">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row>
    <row r="921" spans="1:38" x14ac:dyDescent="0.3">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row>
    <row r="922" spans="1:38" x14ac:dyDescent="0.3">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row>
    <row r="923" spans="1:38" x14ac:dyDescent="0.3">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row>
    <row r="924" spans="1:38" x14ac:dyDescent="0.3">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row>
    <row r="925" spans="1:38" x14ac:dyDescent="0.3">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row>
    <row r="926" spans="1:38" x14ac:dyDescent="0.3">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row>
    <row r="927" spans="1:38" x14ac:dyDescent="0.3">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row>
    <row r="928" spans="1:38" x14ac:dyDescent="0.3">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row>
    <row r="929" spans="1:38" x14ac:dyDescent="0.3">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row>
    <row r="930" spans="1:38" x14ac:dyDescent="0.3">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row>
    <row r="931" spans="1:38" x14ac:dyDescent="0.3">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row>
    <row r="932" spans="1:38" x14ac:dyDescent="0.3">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row>
    <row r="933" spans="1:38" x14ac:dyDescent="0.3">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row>
    <row r="934" spans="1:38" x14ac:dyDescent="0.3">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row>
    <row r="935" spans="1:38" x14ac:dyDescent="0.3">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row>
    <row r="936" spans="1:38" x14ac:dyDescent="0.3">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row>
    <row r="937" spans="1:38" x14ac:dyDescent="0.3">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row>
    <row r="938" spans="1:38" x14ac:dyDescent="0.3">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row>
    <row r="939" spans="1:38" x14ac:dyDescent="0.3">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row>
    <row r="940" spans="1:38" x14ac:dyDescent="0.3">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row>
    <row r="941" spans="1:38" x14ac:dyDescent="0.3">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row>
    <row r="942" spans="1:38" x14ac:dyDescent="0.3">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row>
    <row r="943" spans="1:38" x14ac:dyDescent="0.3">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row>
    <row r="944" spans="1:38" x14ac:dyDescent="0.3">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row>
    <row r="945" spans="1:38" x14ac:dyDescent="0.3">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row>
    <row r="946" spans="1:38" x14ac:dyDescent="0.3">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row>
    <row r="947" spans="1:38" x14ac:dyDescent="0.3">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row>
    <row r="948" spans="1:38" x14ac:dyDescent="0.3">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row>
    <row r="949" spans="1:38" x14ac:dyDescent="0.3">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row>
  </sheetData>
  <pageMargins left="0.7" right="0.7" top="0.75" bottom="0.75" header="0" footer="0"/>
  <pageSetup paperSize="9" orientation="landscape"/>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AL953"/>
  <sheetViews>
    <sheetView showGridLines="0" showZeros="0" tabSelected="1" topLeftCell="A28" zoomScale="94" zoomScaleNormal="94" workbookViewId="0">
      <selection activeCell="R11" sqref="R11"/>
    </sheetView>
  </sheetViews>
  <sheetFormatPr defaultColWidth="14.375" defaultRowHeight="15.6" x14ac:dyDescent="0.3"/>
  <cols>
    <col min="1" max="1" width="50.75" style="1" bestFit="1" customWidth="1"/>
    <col min="2" max="2" width="14.375" style="1" bestFit="1" customWidth="1"/>
    <col min="3" max="3" width="13.75" style="1" bestFit="1" customWidth="1"/>
    <col min="4" max="4" width="13.375" style="1" bestFit="1" customWidth="1"/>
    <col min="5" max="5" width="15.5" style="1" bestFit="1" customWidth="1"/>
    <col min="6" max="6" width="9.125" style="1" bestFit="1" customWidth="1"/>
    <col min="7" max="7" width="13.75" style="1" bestFit="1" customWidth="1"/>
    <col min="8" max="8" width="10.375" style="1" bestFit="1" customWidth="1"/>
    <col min="9" max="9" width="10.75" style="1" bestFit="1" customWidth="1"/>
    <col min="10" max="10" width="13.75" style="1" bestFit="1" customWidth="1"/>
    <col min="11" max="11" width="5.625" style="1" customWidth="1"/>
    <col min="12" max="12" width="12.625" style="1" bestFit="1" customWidth="1"/>
    <col min="13" max="13" width="8.625" style="1" bestFit="1" customWidth="1"/>
    <col min="14" max="16" width="13.75" style="1" bestFit="1" customWidth="1"/>
    <col min="17" max="17" width="12" style="1" bestFit="1" customWidth="1"/>
    <col min="18" max="18" width="13" style="1" bestFit="1" customWidth="1"/>
    <col min="19" max="19" width="9.75" style="1" bestFit="1" customWidth="1"/>
    <col min="20" max="21" width="11" style="1" bestFit="1" customWidth="1"/>
    <col min="22" max="22" width="12.625" style="1" bestFit="1" customWidth="1"/>
    <col min="23" max="23" width="9.75" style="1" bestFit="1" customWidth="1"/>
    <col min="24" max="24" width="12.625" style="1" bestFit="1" customWidth="1"/>
    <col min="25" max="25" width="8.625" style="1" bestFit="1" customWidth="1"/>
    <col min="26" max="26" width="10.75" style="1" customWidth="1"/>
    <col min="27" max="27" width="11.25" style="1" customWidth="1"/>
    <col min="28" max="28" width="8.375" style="1" bestFit="1" customWidth="1"/>
    <col min="29" max="29" width="13.75" style="1" bestFit="1" customWidth="1"/>
    <col min="30" max="30" width="6" style="1" bestFit="1" customWidth="1"/>
    <col min="31" max="31" width="8" style="1" bestFit="1" customWidth="1"/>
    <col min="32" max="32" width="10.75" style="1" bestFit="1" customWidth="1"/>
    <col min="33" max="33" width="2.625" style="1" bestFit="1" customWidth="1"/>
    <col min="34" max="38" width="8.75" style="1" customWidth="1"/>
    <col min="39" max="16384" width="14.375" style="1"/>
  </cols>
  <sheetData>
    <row r="1" spans="1:2" s="142" customFormat="1" ht="16.2" thickBot="1" x14ac:dyDescent="0.35">
      <c r="A1" s="138" t="s">
        <v>116</v>
      </c>
      <c r="B1" s="137" t="s">
        <v>24</v>
      </c>
    </row>
    <row r="2" spans="1:2" s="142" customFormat="1" ht="15" x14ac:dyDescent="0.25">
      <c r="A2" s="143" t="s">
        <v>117</v>
      </c>
      <c r="B2" s="144">
        <v>0</v>
      </c>
    </row>
    <row r="3" spans="1:2" s="142" customFormat="1" thickBot="1" x14ac:dyDescent="0.3">
      <c r="A3" s="145" t="s">
        <v>118</v>
      </c>
      <c r="B3" s="146">
        <v>0</v>
      </c>
    </row>
    <row r="4" spans="1:2" s="142" customFormat="1" ht="16.2" thickBot="1" x14ac:dyDescent="0.3">
      <c r="A4" s="139" t="s">
        <v>119</v>
      </c>
      <c r="B4" s="137" t="s">
        <v>24</v>
      </c>
    </row>
    <row r="5" spans="1:2" s="142" customFormat="1" ht="15" x14ac:dyDescent="0.25">
      <c r="A5" s="143" t="s">
        <v>120</v>
      </c>
      <c r="B5" s="144">
        <v>0</v>
      </c>
    </row>
    <row r="6" spans="1:2" s="142" customFormat="1" ht="15" x14ac:dyDescent="0.25">
      <c r="A6" s="145" t="s">
        <v>121</v>
      </c>
      <c r="B6" s="147">
        <v>0</v>
      </c>
    </row>
    <row r="7" spans="1:2" s="142" customFormat="1" ht="15" x14ac:dyDescent="0.25">
      <c r="A7" s="145" t="s">
        <v>122</v>
      </c>
      <c r="B7" s="146">
        <v>0</v>
      </c>
    </row>
    <row r="8" spans="1:2" s="142" customFormat="1" ht="15" x14ac:dyDescent="0.25">
      <c r="A8" s="145" t="s">
        <v>123</v>
      </c>
      <c r="B8" s="146">
        <v>0</v>
      </c>
    </row>
    <row r="9" spans="1:2" s="142" customFormat="1" thickBot="1" x14ac:dyDescent="0.3">
      <c r="A9" s="145" t="s">
        <v>124</v>
      </c>
      <c r="B9" s="146">
        <v>0</v>
      </c>
    </row>
    <row r="10" spans="1:2" s="142" customFormat="1" ht="16.2" thickBot="1" x14ac:dyDescent="0.3">
      <c r="A10" s="139" t="s">
        <v>125</v>
      </c>
      <c r="B10" s="137" t="s">
        <v>24</v>
      </c>
    </row>
    <row r="11" spans="1:2" s="142" customFormat="1" ht="15" x14ac:dyDescent="0.25">
      <c r="A11" s="143" t="s">
        <v>126</v>
      </c>
      <c r="B11" s="144">
        <v>0</v>
      </c>
    </row>
    <row r="12" spans="1:2" s="142" customFormat="1" ht="15" x14ac:dyDescent="0.25">
      <c r="A12" s="145" t="s">
        <v>127</v>
      </c>
      <c r="B12" s="146">
        <v>0</v>
      </c>
    </row>
    <row r="13" spans="1:2" s="142" customFormat="1" ht="15" x14ac:dyDescent="0.25">
      <c r="A13" s="145" t="s">
        <v>128</v>
      </c>
      <c r="B13" s="146">
        <v>0</v>
      </c>
    </row>
    <row r="14" spans="1:2" s="142" customFormat="1" ht="15" x14ac:dyDescent="0.25">
      <c r="A14" s="145" t="s">
        <v>129</v>
      </c>
      <c r="B14" s="146">
        <v>0</v>
      </c>
    </row>
    <row r="15" spans="1:2" s="142" customFormat="1" ht="15" x14ac:dyDescent="0.25">
      <c r="A15" s="145" t="s">
        <v>130</v>
      </c>
      <c r="B15" s="146">
        <v>0</v>
      </c>
    </row>
    <row r="16" spans="1:2" s="142" customFormat="1" thickBot="1" x14ac:dyDescent="0.3">
      <c r="A16" s="145" t="s">
        <v>131</v>
      </c>
      <c r="B16" s="146">
        <v>0</v>
      </c>
    </row>
    <row r="17" spans="1:38" s="142" customFormat="1" ht="16.2" thickBot="1" x14ac:dyDescent="0.3">
      <c r="A17" s="139" t="s">
        <v>132</v>
      </c>
      <c r="B17" s="137" t="s">
        <v>24</v>
      </c>
    </row>
    <row r="18" spans="1:38" s="142" customFormat="1" ht="30" x14ac:dyDescent="0.25">
      <c r="A18" s="143" t="s">
        <v>133</v>
      </c>
      <c r="B18" s="144">
        <v>0</v>
      </c>
    </row>
    <row r="19" spans="1:38" s="142" customFormat="1" thickBot="1" x14ac:dyDescent="0.3">
      <c r="A19" s="148" t="s">
        <v>134</v>
      </c>
      <c r="B19" s="149">
        <v>0</v>
      </c>
    </row>
    <row r="20" spans="1:38" s="142" customFormat="1" thickBot="1" x14ac:dyDescent="0.3">
      <c r="A20" s="150"/>
      <c r="B20" s="151"/>
    </row>
    <row r="21" spans="1:38" ht="78.599999999999994" thickBot="1" x14ac:dyDescent="0.35">
      <c r="A21" s="140" t="s">
        <v>0</v>
      </c>
      <c r="B21" s="54" t="s">
        <v>88</v>
      </c>
      <c r="C21" s="54" t="s">
        <v>27</v>
      </c>
      <c r="D21" s="54" t="s">
        <v>90</v>
      </c>
      <c r="E21" s="54" t="s">
        <v>110</v>
      </c>
      <c r="F21" s="54" t="s">
        <v>89</v>
      </c>
      <c r="G21" s="54" t="s">
        <v>93</v>
      </c>
      <c r="H21" s="54" t="s">
        <v>104</v>
      </c>
      <c r="I21" s="54" t="s">
        <v>105</v>
      </c>
      <c r="J21" s="54" t="s">
        <v>109</v>
      </c>
      <c r="K21" s="55" t="s">
        <v>28</v>
      </c>
      <c r="L21" s="55" t="s">
        <v>106</v>
      </c>
      <c r="M21" s="54" t="s">
        <v>111</v>
      </c>
      <c r="N21" s="54" t="s">
        <v>25</v>
      </c>
      <c r="O21" s="54" t="s">
        <v>26</v>
      </c>
      <c r="P21" s="56" t="s">
        <v>107</v>
      </c>
      <c r="Q21" s="56" t="s">
        <v>114</v>
      </c>
      <c r="R21" s="54" t="s">
        <v>29</v>
      </c>
      <c r="S21" s="54" t="s">
        <v>30</v>
      </c>
      <c r="T21" s="54" t="s">
        <v>31</v>
      </c>
      <c r="U21" s="54" t="s">
        <v>32</v>
      </c>
      <c r="V21" s="54" t="s">
        <v>33</v>
      </c>
      <c r="W21" s="54" t="s">
        <v>91</v>
      </c>
      <c r="X21" s="54" t="s">
        <v>92</v>
      </c>
      <c r="Y21" s="54" t="s">
        <v>34</v>
      </c>
      <c r="Z21" s="54" t="s">
        <v>112</v>
      </c>
      <c r="AA21" s="54" t="s">
        <v>113</v>
      </c>
      <c r="AB21" s="54" t="s">
        <v>108</v>
      </c>
      <c r="AC21" s="57" t="s">
        <v>115</v>
      </c>
      <c r="AD21" s="57" t="s">
        <v>95</v>
      </c>
      <c r="AE21" s="57" t="s">
        <v>103</v>
      </c>
      <c r="AF21" s="58" t="s">
        <v>102</v>
      </c>
      <c r="AG21" s="2"/>
      <c r="AH21" s="2"/>
      <c r="AI21" s="2"/>
      <c r="AJ21" s="2"/>
      <c r="AK21" s="2"/>
      <c r="AL21" s="2"/>
    </row>
    <row r="22" spans="1:38" x14ac:dyDescent="0.3">
      <c r="A22" s="78" t="s">
        <v>9</v>
      </c>
      <c r="B22" s="79">
        <v>42489</v>
      </c>
      <c r="C22" s="80">
        <v>742769</v>
      </c>
      <c r="D22" s="79">
        <v>44621</v>
      </c>
      <c r="E22" s="81">
        <v>690000</v>
      </c>
      <c r="F22" s="82">
        <v>0</v>
      </c>
      <c r="G22" s="80">
        <f t="shared" ref="G22:G35" si="0">F22*E22+E22</f>
        <v>690000</v>
      </c>
      <c r="H22" s="82">
        <v>0.01</v>
      </c>
      <c r="I22" s="80">
        <f>H22*G22</f>
        <v>6900</v>
      </c>
      <c r="J22" s="80">
        <f>G22-C22-I22</f>
        <v>-59669</v>
      </c>
      <c r="K22" s="82">
        <v>0.25</v>
      </c>
      <c r="L22" s="83">
        <f t="shared" ref="L22:L35" si="1">K22*J22</f>
        <v>-14917.25</v>
      </c>
      <c r="M22" s="82">
        <v>0.7</v>
      </c>
      <c r="N22" s="80">
        <f t="shared" ref="N22:N35" si="2">M22*E22</f>
        <v>482999.99999999994</v>
      </c>
      <c r="O22" s="80">
        <f t="shared" ref="O22:O35" si="3">G22-N22</f>
        <v>207000.00000000006</v>
      </c>
      <c r="P22" s="84">
        <f>G22-I22-L22-N22</f>
        <v>215017.25000000006</v>
      </c>
      <c r="Q22" s="132">
        <f>AF22/P22</f>
        <v>6.2250819411000725E-2</v>
      </c>
      <c r="R22" s="85" t="s">
        <v>35</v>
      </c>
      <c r="S22" s="86">
        <v>3.5000000000000003E-2</v>
      </c>
      <c r="T22" s="87">
        <f t="shared" ref="T22:T35" si="4">S22*N22</f>
        <v>16905</v>
      </c>
      <c r="U22" s="88"/>
      <c r="V22" s="88">
        <v>42000</v>
      </c>
      <c r="W22" s="82"/>
      <c r="X22" s="87">
        <f>V22*W22+V22</f>
        <v>42000</v>
      </c>
      <c r="Y22" s="89">
        <f t="shared" ref="Y22:Y67" si="5">X22/G22</f>
        <v>6.0869565217391307E-2</v>
      </c>
      <c r="Z22" s="86">
        <v>0.255</v>
      </c>
      <c r="AA22" s="87">
        <f t="shared" ref="AA22:AA35" si="6">Z22*X22</f>
        <v>10710</v>
      </c>
      <c r="AB22" s="88">
        <v>1000</v>
      </c>
      <c r="AC22" s="90"/>
      <c r="AD22" s="91">
        <f t="shared" ref="AD22:AD67" si="7">N22/G22</f>
        <v>0.7</v>
      </c>
      <c r="AE22" s="91">
        <f t="shared" ref="AE22:AE67" si="8">IF(OR(T22=0, X22=0), "", X22/T22)</f>
        <v>2.4844720496894408</v>
      </c>
      <c r="AF22" s="92">
        <f t="shared" ref="AF22:AF35" si="9" xml:space="preserve"> X22 - T22 - U22 - AA22 - AB22</f>
        <v>13385</v>
      </c>
      <c r="AG22" s="3"/>
      <c r="AH22" s="3"/>
      <c r="AI22" s="3"/>
      <c r="AJ22" s="3"/>
      <c r="AK22" s="3"/>
      <c r="AL22" s="3"/>
    </row>
    <row r="23" spans="1:38" x14ac:dyDescent="0.3">
      <c r="A23" s="75" t="s">
        <v>36</v>
      </c>
      <c r="B23" s="60" t="s">
        <v>37</v>
      </c>
      <c r="C23" s="61">
        <v>134910</v>
      </c>
      <c r="D23" s="60">
        <v>44621</v>
      </c>
      <c r="E23" s="62">
        <v>1150000</v>
      </c>
      <c r="F23" s="63"/>
      <c r="G23" s="61">
        <f t="shared" si="0"/>
        <v>1150000</v>
      </c>
      <c r="H23" s="63">
        <v>0.01</v>
      </c>
      <c r="I23" s="61">
        <f t="shared" ref="I23:I65" si="10">H23*G23</f>
        <v>11500</v>
      </c>
      <c r="J23" s="61">
        <f t="shared" ref="J23:J65" si="11">G23-C23-I23</f>
        <v>1003590</v>
      </c>
      <c r="K23" s="63">
        <v>0.25</v>
      </c>
      <c r="L23" s="64">
        <f t="shared" si="1"/>
        <v>250897.5</v>
      </c>
      <c r="M23" s="63">
        <v>0.7</v>
      </c>
      <c r="N23" s="61">
        <f t="shared" si="2"/>
        <v>805000</v>
      </c>
      <c r="O23" s="61">
        <f t="shared" si="3"/>
        <v>345000</v>
      </c>
      <c r="P23" s="65">
        <f t="shared" ref="P23:P65" si="12">G23-I23-L23-N23</f>
        <v>82602.5</v>
      </c>
      <c r="Q23" s="132">
        <f t="shared" ref="Q23:Q66" si="13">AF23/P23</f>
        <v>0.24932562573771977</v>
      </c>
      <c r="R23" s="66" t="s">
        <v>35</v>
      </c>
      <c r="S23" s="67">
        <v>3.5000000000000003E-2</v>
      </c>
      <c r="T23" s="68">
        <f t="shared" si="4"/>
        <v>28175.000000000004</v>
      </c>
      <c r="U23" s="69"/>
      <c r="V23" s="69">
        <v>57600</v>
      </c>
      <c r="W23" s="63"/>
      <c r="X23" s="68">
        <f t="shared" ref="X23:X35" si="14">V23*W23+V23</f>
        <v>57600</v>
      </c>
      <c r="Y23" s="70">
        <f t="shared" si="5"/>
        <v>5.0086956521739133E-2</v>
      </c>
      <c r="Z23" s="67">
        <v>0.15329999999999999</v>
      </c>
      <c r="AA23" s="68">
        <f t="shared" si="6"/>
        <v>8830.08</v>
      </c>
      <c r="AB23" s="69"/>
      <c r="AC23" s="71"/>
      <c r="AD23" s="72">
        <f t="shared" si="7"/>
        <v>0.7</v>
      </c>
      <c r="AE23" s="72">
        <f t="shared" si="8"/>
        <v>2.0443655723158827</v>
      </c>
      <c r="AF23" s="76">
        <f t="shared" si="9"/>
        <v>20594.919999999998</v>
      </c>
      <c r="AG23" s="3"/>
      <c r="AH23" s="3"/>
      <c r="AI23" s="3"/>
      <c r="AJ23" s="3"/>
      <c r="AK23" s="3"/>
      <c r="AL23" s="3"/>
    </row>
    <row r="24" spans="1:38" x14ac:dyDescent="0.3">
      <c r="A24" s="75" t="s">
        <v>38</v>
      </c>
      <c r="B24" s="60" t="s">
        <v>37</v>
      </c>
      <c r="C24" s="61">
        <v>115092</v>
      </c>
      <c r="D24" s="60">
        <v>44621</v>
      </c>
      <c r="E24" s="62">
        <v>1550000</v>
      </c>
      <c r="F24" s="63"/>
      <c r="G24" s="61">
        <f t="shared" si="0"/>
        <v>1550000</v>
      </c>
      <c r="H24" s="63">
        <v>0.01</v>
      </c>
      <c r="I24" s="61">
        <f t="shared" si="10"/>
        <v>15500</v>
      </c>
      <c r="J24" s="61">
        <f t="shared" si="11"/>
        <v>1419408</v>
      </c>
      <c r="K24" s="63">
        <v>0.25</v>
      </c>
      <c r="L24" s="64">
        <f t="shared" si="1"/>
        <v>354852</v>
      </c>
      <c r="M24" s="63">
        <v>0.7</v>
      </c>
      <c r="N24" s="61">
        <f t="shared" si="2"/>
        <v>1085000</v>
      </c>
      <c r="O24" s="61">
        <f t="shared" si="3"/>
        <v>465000</v>
      </c>
      <c r="P24" s="65">
        <f t="shared" si="12"/>
        <v>94648</v>
      </c>
      <c r="Q24" s="132">
        <f t="shared" si="13"/>
        <v>0.41007733919364381</v>
      </c>
      <c r="R24" s="66" t="s">
        <v>35</v>
      </c>
      <c r="S24" s="67">
        <v>3.5000000000000003E-2</v>
      </c>
      <c r="T24" s="68">
        <f t="shared" si="4"/>
        <v>37975</v>
      </c>
      <c r="U24" s="69"/>
      <c r="V24" s="69">
        <v>94800</v>
      </c>
      <c r="W24" s="63"/>
      <c r="X24" s="68">
        <f t="shared" si="14"/>
        <v>94800</v>
      </c>
      <c r="Y24" s="70">
        <f t="shared" si="5"/>
        <v>6.1161290322580643E-2</v>
      </c>
      <c r="Z24" s="67">
        <v>0.19</v>
      </c>
      <c r="AA24" s="68">
        <f t="shared" si="6"/>
        <v>18012</v>
      </c>
      <c r="AB24" s="69"/>
      <c r="AC24" s="71"/>
      <c r="AD24" s="72">
        <f t="shared" si="7"/>
        <v>0.7</v>
      </c>
      <c r="AE24" s="72">
        <f t="shared" si="8"/>
        <v>2.4963791968400262</v>
      </c>
      <c r="AF24" s="76">
        <f t="shared" si="9"/>
        <v>38813</v>
      </c>
      <c r="AG24" s="3"/>
      <c r="AH24" s="3"/>
      <c r="AI24" s="3"/>
      <c r="AJ24" s="3"/>
      <c r="AK24" s="3"/>
      <c r="AL24" s="3"/>
    </row>
    <row r="25" spans="1:38" x14ac:dyDescent="0.3">
      <c r="A25" s="75" t="s">
        <v>39</v>
      </c>
      <c r="B25" s="60" t="s">
        <v>37</v>
      </c>
      <c r="C25" s="61">
        <v>125480</v>
      </c>
      <c r="D25" s="60">
        <v>44621</v>
      </c>
      <c r="E25" s="62">
        <v>1360000</v>
      </c>
      <c r="F25" s="63"/>
      <c r="G25" s="61">
        <f t="shared" si="0"/>
        <v>1360000</v>
      </c>
      <c r="H25" s="63">
        <v>0.01</v>
      </c>
      <c r="I25" s="61">
        <f t="shared" si="10"/>
        <v>13600</v>
      </c>
      <c r="J25" s="61">
        <f t="shared" si="11"/>
        <v>1220920</v>
      </c>
      <c r="K25" s="63">
        <v>0.25</v>
      </c>
      <c r="L25" s="64">
        <f t="shared" si="1"/>
        <v>305230</v>
      </c>
      <c r="M25" s="63">
        <v>0.7</v>
      </c>
      <c r="N25" s="61">
        <f t="shared" si="2"/>
        <v>951999.99999999988</v>
      </c>
      <c r="O25" s="61">
        <f t="shared" si="3"/>
        <v>408000.00000000012</v>
      </c>
      <c r="P25" s="65">
        <f t="shared" si="12"/>
        <v>89170.000000000116</v>
      </c>
      <c r="Q25" s="132">
        <f t="shared" si="13"/>
        <v>0.18791073230907232</v>
      </c>
      <c r="R25" s="66" t="s">
        <v>35</v>
      </c>
      <c r="S25" s="67">
        <v>3.5000000000000003E-2</v>
      </c>
      <c r="T25" s="68">
        <f t="shared" si="4"/>
        <v>33320</v>
      </c>
      <c r="U25" s="69"/>
      <c r="V25" s="69">
        <v>64200</v>
      </c>
      <c r="W25" s="63">
        <v>0</v>
      </c>
      <c r="X25" s="68">
        <f t="shared" si="14"/>
        <v>64200</v>
      </c>
      <c r="Y25" s="70">
        <f t="shared" si="5"/>
        <v>4.7205882352941174E-2</v>
      </c>
      <c r="Z25" s="67">
        <v>0.22</v>
      </c>
      <c r="AA25" s="68">
        <f t="shared" si="6"/>
        <v>14124</v>
      </c>
      <c r="AB25" s="69"/>
      <c r="AC25" s="71"/>
      <c r="AD25" s="72">
        <f t="shared" si="7"/>
        <v>0.7</v>
      </c>
      <c r="AE25" s="72">
        <f t="shared" si="8"/>
        <v>1.9267707082833134</v>
      </c>
      <c r="AF25" s="76">
        <f t="shared" si="9"/>
        <v>16756</v>
      </c>
      <c r="AG25" s="3"/>
      <c r="AH25" s="3"/>
      <c r="AI25" s="3"/>
      <c r="AJ25" s="3"/>
      <c r="AK25" s="3"/>
      <c r="AL25" s="3"/>
    </row>
    <row r="26" spans="1:38" x14ac:dyDescent="0.3">
      <c r="A26" s="75" t="s">
        <v>40</v>
      </c>
      <c r="B26" s="60" t="s">
        <v>37</v>
      </c>
      <c r="C26" s="61">
        <v>472012</v>
      </c>
      <c r="D26" s="60">
        <v>44621</v>
      </c>
      <c r="E26" s="62">
        <v>1830000</v>
      </c>
      <c r="F26" s="63">
        <v>0</v>
      </c>
      <c r="G26" s="61">
        <f t="shared" si="0"/>
        <v>1830000</v>
      </c>
      <c r="H26" s="63">
        <v>0.01</v>
      </c>
      <c r="I26" s="61">
        <f t="shared" si="10"/>
        <v>18300</v>
      </c>
      <c r="J26" s="61">
        <f t="shared" si="11"/>
        <v>1339688</v>
      </c>
      <c r="K26" s="63">
        <v>0.25</v>
      </c>
      <c r="L26" s="64">
        <f t="shared" si="1"/>
        <v>334922</v>
      </c>
      <c r="M26" s="63">
        <v>0.7</v>
      </c>
      <c r="N26" s="61">
        <f t="shared" si="2"/>
        <v>1281000</v>
      </c>
      <c r="O26" s="61">
        <f t="shared" si="3"/>
        <v>549000</v>
      </c>
      <c r="P26" s="65">
        <f t="shared" si="12"/>
        <v>195778</v>
      </c>
      <c r="Q26" s="132">
        <f t="shared" si="13"/>
        <v>0.18935222547988023</v>
      </c>
      <c r="R26" s="66" t="s">
        <v>35</v>
      </c>
      <c r="S26" s="67">
        <v>3.5000000000000003E-2</v>
      </c>
      <c r="T26" s="68">
        <f t="shared" si="4"/>
        <v>44835.000000000007</v>
      </c>
      <c r="U26" s="69"/>
      <c r="V26" s="69">
        <v>96360</v>
      </c>
      <c r="W26" s="63"/>
      <c r="X26" s="68">
        <f t="shared" si="14"/>
        <v>96360</v>
      </c>
      <c r="Y26" s="70">
        <f t="shared" si="5"/>
        <v>5.2655737704918035E-2</v>
      </c>
      <c r="Z26" s="67">
        <v>0.15</v>
      </c>
      <c r="AA26" s="68">
        <f t="shared" si="6"/>
        <v>14454</v>
      </c>
      <c r="AB26" s="69"/>
      <c r="AC26" s="71"/>
      <c r="AD26" s="72">
        <f t="shared" si="7"/>
        <v>0.7</v>
      </c>
      <c r="AE26" s="72">
        <f t="shared" si="8"/>
        <v>2.1492137838742051</v>
      </c>
      <c r="AF26" s="76">
        <f t="shared" si="9"/>
        <v>37070.999999999993</v>
      </c>
      <c r="AG26" s="3"/>
      <c r="AH26" s="3"/>
      <c r="AI26" s="3"/>
      <c r="AJ26" s="3"/>
      <c r="AK26" s="3"/>
      <c r="AL26" s="3"/>
    </row>
    <row r="27" spans="1:38" x14ac:dyDescent="0.3">
      <c r="A27" s="75" t="s">
        <v>41</v>
      </c>
      <c r="B27" s="60" t="s">
        <v>37</v>
      </c>
      <c r="C27" s="61">
        <v>40000</v>
      </c>
      <c r="D27" s="60">
        <v>44621</v>
      </c>
      <c r="E27" s="62">
        <v>355000</v>
      </c>
      <c r="F27" s="63"/>
      <c r="G27" s="61">
        <f t="shared" si="0"/>
        <v>355000</v>
      </c>
      <c r="H27" s="63">
        <v>0.01</v>
      </c>
      <c r="I27" s="61">
        <f t="shared" si="10"/>
        <v>3550</v>
      </c>
      <c r="J27" s="61">
        <f t="shared" si="11"/>
        <v>311450</v>
      </c>
      <c r="K27" s="63">
        <v>0.25</v>
      </c>
      <c r="L27" s="64">
        <f t="shared" si="1"/>
        <v>77862.5</v>
      </c>
      <c r="M27" s="63">
        <v>0.7</v>
      </c>
      <c r="N27" s="61">
        <f t="shared" si="2"/>
        <v>248499.99999999997</v>
      </c>
      <c r="O27" s="61">
        <f t="shared" si="3"/>
        <v>106500.00000000003</v>
      </c>
      <c r="P27" s="65">
        <f t="shared" si="12"/>
        <v>25087.500000000029</v>
      </c>
      <c r="Q27" s="132">
        <f t="shared" si="13"/>
        <v>8.3806676631788646E-2</v>
      </c>
      <c r="R27" s="66" t="s">
        <v>35</v>
      </c>
      <c r="S27" s="67">
        <v>3.5000000000000003E-2</v>
      </c>
      <c r="T27" s="68">
        <f t="shared" si="4"/>
        <v>8697.5</v>
      </c>
      <c r="U27" s="69"/>
      <c r="V27" s="69">
        <v>18000</v>
      </c>
      <c r="W27" s="63"/>
      <c r="X27" s="68">
        <f t="shared" si="14"/>
        <v>18000</v>
      </c>
      <c r="Y27" s="70">
        <f t="shared" si="5"/>
        <v>5.0704225352112678E-2</v>
      </c>
      <c r="Z27" s="67">
        <v>0.4</v>
      </c>
      <c r="AA27" s="68">
        <f t="shared" si="6"/>
        <v>7200</v>
      </c>
      <c r="AB27" s="69"/>
      <c r="AC27" s="71"/>
      <c r="AD27" s="72">
        <f t="shared" si="7"/>
        <v>0.7</v>
      </c>
      <c r="AE27" s="72">
        <f t="shared" si="8"/>
        <v>2.0695602184535784</v>
      </c>
      <c r="AF27" s="76">
        <f t="shared" si="9"/>
        <v>2102.5</v>
      </c>
      <c r="AG27" s="3"/>
      <c r="AH27" s="3"/>
      <c r="AI27" s="3"/>
      <c r="AJ27" s="3"/>
      <c r="AK27" s="3"/>
      <c r="AL27" s="3"/>
    </row>
    <row r="28" spans="1:38" x14ac:dyDescent="0.3">
      <c r="A28" s="75" t="s">
        <v>10</v>
      </c>
      <c r="B28" s="60" t="s">
        <v>37</v>
      </c>
      <c r="C28" s="61">
        <v>334350</v>
      </c>
      <c r="D28" s="60">
        <v>44621</v>
      </c>
      <c r="E28" s="62">
        <v>950000</v>
      </c>
      <c r="F28" s="63"/>
      <c r="G28" s="61">
        <f t="shared" si="0"/>
        <v>950000</v>
      </c>
      <c r="H28" s="63">
        <v>0.01</v>
      </c>
      <c r="I28" s="61">
        <f t="shared" si="10"/>
        <v>9500</v>
      </c>
      <c r="J28" s="61">
        <f t="shared" si="11"/>
        <v>606150</v>
      </c>
      <c r="K28" s="63">
        <v>0.25</v>
      </c>
      <c r="L28" s="64">
        <f t="shared" si="1"/>
        <v>151537.5</v>
      </c>
      <c r="M28" s="63">
        <v>0.7</v>
      </c>
      <c r="N28" s="61">
        <f t="shared" si="2"/>
        <v>665000</v>
      </c>
      <c r="O28" s="61">
        <f t="shared" si="3"/>
        <v>285000</v>
      </c>
      <c r="P28" s="65">
        <f t="shared" si="12"/>
        <v>123962.5</v>
      </c>
      <c r="Q28" s="132">
        <f t="shared" si="13"/>
        <v>7.1804618332156858E-2</v>
      </c>
      <c r="R28" s="66" t="s">
        <v>35</v>
      </c>
      <c r="S28" s="67">
        <v>3.5000000000000003E-2</v>
      </c>
      <c r="T28" s="68">
        <f t="shared" si="4"/>
        <v>23275.000000000004</v>
      </c>
      <c r="U28" s="69"/>
      <c r="V28" s="69">
        <v>55200</v>
      </c>
      <c r="W28" s="63"/>
      <c r="X28" s="68">
        <f t="shared" si="14"/>
        <v>55200</v>
      </c>
      <c r="Y28" s="70">
        <f t="shared" si="5"/>
        <v>5.8105263157894736E-2</v>
      </c>
      <c r="Z28" s="67">
        <v>0.41710000000000003</v>
      </c>
      <c r="AA28" s="68">
        <f t="shared" si="6"/>
        <v>23023.920000000002</v>
      </c>
      <c r="AB28" s="69"/>
      <c r="AC28" s="71"/>
      <c r="AD28" s="72">
        <f t="shared" si="7"/>
        <v>0.7</v>
      </c>
      <c r="AE28" s="72">
        <f t="shared" si="8"/>
        <v>2.371643394199785</v>
      </c>
      <c r="AF28" s="76">
        <f t="shared" si="9"/>
        <v>8901.0799999999945</v>
      </c>
      <c r="AG28" s="3"/>
      <c r="AH28" s="3"/>
      <c r="AI28" s="3"/>
      <c r="AJ28" s="3"/>
      <c r="AK28" s="3"/>
      <c r="AL28" s="3"/>
    </row>
    <row r="29" spans="1:38" x14ac:dyDescent="0.3">
      <c r="A29" s="75" t="s">
        <v>42</v>
      </c>
      <c r="B29" s="60" t="s">
        <v>37</v>
      </c>
      <c r="C29" s="61">
        <v>301515</v>
      </c>
      <c r="D29" s="60">
        <v>44621</v>
      </c>
      <c r="E29" s="62">
        <v>1210000</v>
      </c>
      <c r="F29" s="63"/>
      <c r="G29" s="61">
        <f>F29*E29+E29</f>
        <v>1210000</v>
      </c>
      <c r="H29" s="63">
        <v>0.01</v>
      </c>
      <c r="I29" s="61">
        <f t="shared" si="10"/>
        <v>12100</v>
      </c>
      <c r="J29" s="61">
        <f t="shared" si="11"/>
        <v>896385</v>
      </c>
      <c r="K29" s="63">
        <v>0.25</v>
      </c>
      <c r="L29" s="64">
        <f t="shared" si="1"/>
        <v>224096.25</v>
      </c>
      <c r="M29" s="63">
        <v>0.7</v>
      </c>
      <c r="N29" s="61">
        <f t="shared" si="2"/>
        <v>847000</v>
      </c>
      <c r="O29" s="61">
        <f t="shared" si="3"/>
        <v>363000</v>
      </c>
      <c r="P29" s="65">
        <f t="shared" si="12"/>
        <v>126803.75</v>
      </c>
      <c r="Q29" s="132">
        <f t="shared" si="13"/>
        <v>0.21087704425145157</v>
      </c>
      <c r="R29" s="66" t="s">
        <v>35</v>
      </c>
      <c r="S29" s="67">
        <v>3.5000000000000003E-2</v>
      </c>
      <c r="T29" s="68">
        <f t="shared" si="4"/>
        <v>29645.000000000004</v>
      </c>
      <c r="U29" s="69"/>
      <c r="V29" s="69">
        <v>63000</v>
      </c>
      <c r="W29" s="63"/>
      <c r="X29" s="68">
        <f t="shared" si="14"/>
        <v>63000</v>
      </c>
      <c r="Y29" s="70">
        <f t="shared" si="5"/>
        <v>5.2066115702479342E-2</v>
      </c>
      <c r="Z29" s="67">
        <v>0.105</v>
      </c>
      <c r="AA29" s="68">
        <f t="shared" si="6"/>
        <v>6615</v>
      </c>
      <c r="AB29" s="69"/>
      <c r="AC29" s="71"/>
      <c r="AD29" s="72">
        <f t="shared" si="7"/>
        <v>0.7</v>
      </c>
      <c r="AE29" s="72">
        <f t="shared" si="8"/>
        <v>2.1251475796930341</v>
      </c>
      <c r="AF29" s="76">
        <f t="shared" si="9"/>
        <v>26740</v>
      </c>
      <c r="AG29" s="3"/>
      <c r="AH29" s="3"/>
      <c r="AI29" s="3"/>
      <c r="AJ29" s="3"/>
      <c r="AK29" s="3"/>
      <c r="AL29" s="3"/>
    </row>
    <row r="30" spans="1:38" x14ac:dyDescent="0.3">
      <c r="A30" s="75" t="s">
        <v>11</v>
      </c>
      <c r="B30" s="60">
        <v>42584</v>
      </c>
      <c r="C30" s="61">
        <v>849136</v>
      </c>
      <c r="D30" s="60">
        <v>44621</v>
      </c>
      <c r="E30" s="62">
        <v>825000</v>
      </c>
      <c r="F30" s="63"/>
      <c r="G30" s="61">
        <f t="shared" si="0"/>
        <v>825000</v>
      </c>
      <c r="H30" s="63">
        <v>0.01</v>
      </c>
      <c r="I30" s="61">
        <f t="shared" si="10"/>
        <v>8250</v>
      </c>
      <c r="J30" s="61">
        <f t="shared" si="11"/>
        <v>-32386</v>
      </c>
      <c r="K30" s="63">
        <v>0.25</v>
      </c>
      <c r="L30" s="64">
        <f t="shared" si="1"/>
        <v>-8096.5</v>
      </c>
      <c r="M30" s="63">
        <v>0.7</v>
      </c>
      <c r="N30" s="61">
        <f t="shared" si="2"/>
        <v>577500</v>
      </c>
      <c r="O30" s="61">
        <f t="shared" si="3"/>
        <v>247500</v>
      </c>
      <c r="P30" s="65">
        <f t="shared" si="12"/>
        <v>247346.5</v>
      </c>
      <c r="Q30" s="132">
        <f t="shared" si="13"/>
        <v>7.0569100431985082E-2</v>
      </c>
      <c r="R30" s="66" t="s">
        <v>35</v>
      </c>
      <c r="S30" s="67">
        <v>3.5000000000000003E-2</v>
      </c>
      <c r="T30" s="68">
        <f t="shared" si="4"/>
        <v>20212.500000000004</v>
      </c>
      <c r="U30" s="69"/>
      <c r="V30" s="69">
        <v>52800</v>
      </c>
      <c r="W30" s="63"/>
      <c r="X30" s="68">
        <f t="shared" si="14"/>
        <v>52800</v>
      </c>
      <c r="Y30" s="70">
        <f t="shared" si="5"/>
        <v>6.4000000000000001E-2</v>
      </c>
      <c r="Z30" s="67">
        <v>0.28660000000000002</v>
      </c>
      <c r="AA30" s="68">
        <f t="shared" si="6"/>
        <v>15132.480000000001</v>
      </c>
      <c r="AB30" s="69"/>
      <c r="AC30" s="71"/>
      <c r="AD30" s="72">
        <f t="shared" si="7"/>
        <v>0.7</v>
      </c>
      <c r="AE30" s="72">
        <f t="shared" si="8"/>
        <v>2.612244897959183</v>
      </c>
      <c r="AF30" s="76">
        <f t="shared" si="9"/>
        <v>17455.019999999997</v>
      </c>
      <c r="AG30" s="3"/>
      <c r="AH30" s="3"/>
      <c r="AI30" s="3"/>
      <c r="AJ30" s="3"/>
      <c r="AK30" s="3"/>
      <c r="AL30" s="3"/>
    </row>
    <row r="31" spans="1:38" x14ac:dyDescent="0.3">
      <c r="A31" s="75" t="s">
        <v>43</v>
      </c>
      <c r="B31" s="60">
        <v>42844</v>
      </c>
      <c r="C31" s="61">
        <v>437570</v>
      </c>
      <c r="D31" s="60">
        <v>44621</v>
      </c>
      <c r="E31" s="62">
        <v>500000</v>
      </c>
      <c r="F31" s="63"/>
      <c r="G31" s="61">
        <f t="shared" si="0"/>
        <v>500000</v>
      </c>
      <c r="H31" s="63">
        <v>0.01</v>
      </c>
      <c r="I31" s="61">
        <f t="shared" si="10"/>
        <v>5000</v>
      </c>
      <c r="J31" s="61">
        <f t="shared" si="11"/>
        <v>57430</v>
      </c>
      <c r="K31" s="63">
        <v>0.25</v>
      </c>
      <c r="L31" s="64">
        <f t="shared" si="1"/>
        <v>14357.5</v>
      </c>
      <c r="M31" s="63">
        <v>0.7</v>
      </c>
      <c r="N31" s="61">
        <f t="shared" si="2"/>
        <v>350000</v>
      </c>
      <c r="O31" s="61">
        <f t="shared" si="3"/>
        <v>150000</v>
      </c>
      <c r="P31" s="65">
        <f t="shared" si="12"/>
        <v>130642.5</v>
      </c>
      <c r="Q31" s="132">
        <f t="shared" si="13"/>
        <v>0.12389291386799854</v>
      </c>
      <c r="R31" s="66" t="s">
        <v>35</v>
      </c>
      <c r="S31" s="67">
        <v>3.5000000000000003E-2</v>
      </c>
      <c r="T31" s="68">
        <f t="shared" si="4"/>
        <v>12250.000000000002</v>
      </c>
      <c r="U31" s="69"/>
      <c r="V31" s="69">
        <v>33600</v>
      </c>
      <c r="W31" s="63"/>
      <c r="X31" s="68">
        <f t="shared" si="14"/>
        <v>33600</v>
      </c>
      <c r="Y31" s="70">
        <f t="shared" si="5"/>
        <v>6.7199999999999996E-2</v>
      </c>
      <c r="Z31" s="67">
        <v>0.1537</v>
      </c>
      <c r="AA31" s="68">
        <f t="shared" si="6"/>
        <v>5164.32</v>
      </c>
      <c r="AB31" s="69"/>
      <c r="AC31" s="71"/>
      <c r="AD31" s="72">
        <f t="shared" si="7"/>
        <v>0.7</v>
      </c>
      <c r="AE31" s="72">
        <f t="shared" si="8"/>
        <v>2.7428571428571424</v>
      </c>
      <c r="AF31" s="76">
        <f t="shared" si="9"/>
        <v>16185.68</v>
      </c>
      <c r="AG31" s="3"/>
      <c r="AH31" s="3"/>
      <c r="AI31" s="3"/>
      <c r="AJ31" s="3"/>
      <c r="AK31" s="3"/>
      <c r="AL31" s="3"/>
    </row>
    <row r="32" spans="1:38" x14ac:dyDescent="0.3">
      <c r="A32" s="75" t="s">
        <v>44</v>
      </c>
      <c r="B32" s="60" t="s">
        <v>37</v>
      </c>
      <c r="C32" s="61">
        <v>489211</v>
      </c>
      <c r="D32" s="60">
        <v>44621</v>
      </c>
      <c r="E32" s="62">
        <v>1800000</v>
      </c>
      <c r="F32" s="63"/>
      <c r="G32" s="61">
        <f t="shared" si="0"/>
        <v>1800000</v>
      </c>
      <c r="H32" s="63">
        <v>0.01</v>
      </c>
      <c r="I32" s="61">
        <f t="shared" si="10"/>
        <v>18000</v>
      </c>
      <c r="J32" s="61">
        <f t="shared" si="11"/>
        <v>1292789</v>
      </c>
      <c r="K32" s="63">
        <v>0.25</v>
      </c>
      <c r="L32" s="64">
        <f t="shared" si="1"/>
        <v>323197.25</v>
      </c>
      <c r="M32" s="63">
        <v>0.7</v>
      </c>
      <c r="N32" s="61">
        <f t="shared" si="2"/>
        <v>1260000</v>
      </c>
      <c r="O32" s="61">
        <f t="shared" si="3"/>
        <v>540000</v>
      </c>
      <c r="P32" s="65">
        <f t="shared" si="12"/>
        <v>198802.75</v>
      </c>
      <c r="Q32" s="132">
        <f t="shared" si="13"/>
        <v>0.27180710528400637</v>
      </c>
      <c r="R32" s="66" t="s">
        <v>35</v>
      </c>
      <c r="S32" s="67">
        <v>3.5000000000000003E-2</v>
      </c>
      <c r="T32" s="68">
        <f t="shared" si="4"/>
        <v>44100.000000000007</v>
      </c>
      <c r="U32" s="69"/>
      <c r="V32" s="69">
        <v>112800</v>
      </c>
      <c r="W32" s="63"/>
      <c r="X32" s="68">
        <f t="shared" si="14"/>
        <v>112800</v>
      </c>
      <c r="Y32" s="70">
        <f t="shared" si="5"/>
        <v>6.2666666666666662E-2</v>
      </c>
      <c r="Z32" s="67">
        <v>0.13</v>
      </c>
      <c r="AA32" s="68">
        <f t="shared" si="6"/>
        <v>14664</v>
      </c>
      <c r="AB32" s="69"/>
      <c r="AC32" s="71"/>
      <c r="AD32" s="72">
        <f t="shared" si="7"/>
        <v>0.7</v>
      </c>
      <c r="AE32" s="72">
        <f t="shared" si="8"/>
        <v>2.5578231292517004</v>
      </c>
      <c r="AF32" s="76">
        <f t="shared" si="9"/>
        <v>54036</v>
      </c>
      <c r="AG32" s="3"/>
      <c r="AH32" s="3"/>
      <c r="AI32" s="3"/>
      <c r="AJ32" s="3"/>
      <c r="AK32" s="3"/>
      <c r="AL32" s="3"/>
    </row>
    <row r="33" spans="1:38" x14ac:dyDescent="0.3">
      <c r="A33" s="75" t="s">
        <v>45</v>
      </c>
      <c r="B33" s="60" t="s">
        <v>37</v>
      </c>
      <c r="C33" s="61">
        <v>265742</v>
      </c>
      <c r="D33" s="60">
        <v>44621</v>
      </c>
      <c r="E33" s="62">
        <v>1620000</v>
      </c>
      <c r="F33" s="63"/>
      <c r="G33" s="61">
        <f t="shared" si="0"/>
        <v>1620000</v>
      </c>
      <c r="H33" s="63">
        <v>0.01</v>
      </c>
      <c r="I33" s="61">
        <f t="shared" si="10"/>
        <v>16200</v>
      </c>
      <c r="J33" s="61">
        <f t="shared" si="11"/>
        <v>1338058</v>
      </c>
      <c r="K33" s="63">
        <v>0.25</v>
      </c>
      <c r="L33" s="64">
        <f t="shared" si="1"/>
        <v>334514.5</v>
      </c>
      <c r="M33" s="63">
        <v>0.7</v>
      </c>
      <c r="N33" s="61">
        <f t="shared" si="2"/>
        <v>1134000</v>
      </c>
      <c r="O33" s="61">
        <f t="shared" si="3"/>
        <v>486000</v>
      </c>
      <c r="P33" s="65">
        <f t="shared" si="12"/>
        <v>135285.5</v>
      </c>
      <c r="Q33" s="132">
        <f t="shared" si="13"/>
        <v>0.28937691031189589</v>
      </c>
      <c r="R33" s="66" t="s">
        <v>35</v>
      </c>
      <c r="S33" s="67">
        <v>3.5000000000000003E-2</v>
      </c>
      <c r="T33" s="68">
        <f t="shared" si="4"/>
        <v>39690.000000000007</v>
      </c>
      <c r="U33" s="69"/>
      <c r="V33" s="69">
        <v>93300</v>
      </c>
      <c r="W33" s="63"/>
      <c r="X33" s="68">
        <f t="shared" si="14"/>
        <v>93300</v>
      </c>
      <c r="Y33" s="70">
        <f t="shared" si="5"/>
        <v>5.7592592592592591E-2</v>
      </c>
      <c r="Z33" s="67">
        <v>0.155</v>
      </c>
      <c r="AA33" s="68">
        <f t="shared" si="6"/>
        <v>14461.5</v>
      </c>
      <c r="AB33" s="69"/>
      <c r="AC33" s="71"/>
      <c r="AD33" s="72">
        <f t="shared" si="7"/>
        <v>0.7</v>
      </c>
      <c r="AE33" s="72">
        <f t="shared" si="8"/>
        <v>2.3507180650037789</v>
      </c>
      <c r="AF33" s="76">
        <f t="shared" si="9"/>
        <v>39148.499999999993</v>
      </c>
      <c r="AG33" s="3"/>
      <c r="AH33" s="3"/>
      <c r="AI33" s="3"/>
      <c r="AJ33" s="3"/>
      <c r="AK33" s="3"/>
      <c r="AL33" s="3"/>
    </row>
    <row r="34" spans="1:38" x14ac:dyDescent="0.3">
      <c r="A34" s="75" t="s">
        <v>46</v>
      </c>
      <c r="B34" s="60" t="s">
        <v>37</v>
      </c>
      <c r="C34" s="61">
        <v>280813</v>
      </c>
      <c r="D34" s="60">
        <v>44621</v>
      </c>
      <c r="E34" s="62">
        <v>2110000</v>
      </c>
      <c r="F34" s="63"/>
      <c r="G34" s="61">
        <f t="shared" si="0"/>
        <v>2110000</v>
      </c>
      <c r="H34" s="63">
        <v>0.01</v>
      </c>
      <c r="I34" s="61">
        <f t="shared" si="10"/>
        <v>21100</v>
      </c>
      <c r="J34" s="61">
        <f t="shared" si="11"/>
        <v>1808087</v>
      </c>
      <c r="K34" s="63">
        <v>0.25</v>
      </c>
      <c r="L34" s="64">
        <f t="shared" si="1"/>
        <v>452021.75</v>
      </c>
      <c r="M34" s="63">
        <v>0.7</v>
      </c>
      <c r="N34" s="61">
        <f t="shared" si="2"/>
        <v>1477000</v>
      </c>
      <c r="O34" s="61">
        <f t="shared" si="3"/>
        <v>633000</v>
      </c>
      <c r="P34" s="65">
        <f t="shared" si="12"/>
        <v>159878.25</v>
      </c>
      <c r="Q34" s="132">
        <f t="shared" si="13"/>
        <v>0.2124178867356879</v>
      </c>
      <c r="R34" s="66" t="s">
        <v>35</v>
      </c>
      <c r="S34" s="67">
        <v>3.5000000000000003E-2</v>
      </c>
      <c r="T34" s="68">
        <f t="shared" si="4"/>
        <v>51695.000000000007</v>
      </c>
      <c r="U34" s="69"/>
      <c r="V34" s="69">
        <v>103200</v>
      </c>
      <c r="W34" s="63"/>
      <c r="X34" s="68">
        <f t="shared" si="14"/>
        <v>103200</v>
      </c>
      <c r="Y34" s="70">
        <f t="shared" si="5"/>
        <v>4.8909952606635068E-2</v>
      </c>
      <c r="Z34" s="67">
        <v>0.17</v>
      </c>
      <c r="AA34" s="68">
        <f t="shared" si="6"/>
        <v>17544</v>
      </c>
      <c r="AB34" s="69"/>
      <c r="AC34" s="71"/>
      <c r="AD34" s="72">
        <f t="shared" si="7"/>
        <v>0.7</v>
      </c>
      <c r="AE34" s="72">
        <f t="shared" si="8"/>
        <v>1.9963245961891862</v>
      </c>
      <c r="AF34" s="76">
        <f t="shared" si="9"/>
        <v>33960.999999999993</v>
      </c>
      <c r="AG34" s="3"/>
      <c r="AH34" s="3"/>
      <c r="AI34" s="3"/>
      <c r="AJ34" s="3"/>
      <c r="AK34" s="3"/>
      <c r="AL34" s="3"/>
    </row>
    <row r="35" spans="1:38" ht="16.2" thickBot="1" x14ac:dyDescent="0.35">
      <c r="A35" s="93" t="s">
        <v>47</v>
      </c>
      <c r="B35" s="94" t="s">
        <v>37</v>
      </c>
      <c r="C35" s="95">
        <v>218582</v>
      </c>
      <c r="D35" s="94">
        <v>44621</v>
      </c>
      <c r="E35" s="96">
        <v>1560000</v>
      </c>
      <c r="F35" s="97"/>
      <c r="G35" s="95">
        <f t="shared" si="0"/>
        <v>1560000</v>
      </c>
      <c r="H35" s="97">
        <v>0.01</v>
      </c>
      <c r="I35" s="95">
        <f t="shared" si="10"/>
        <v>15600</v>
      </c>
      <c r="J35" s="95">
        <f t="shared" si="11"/>
        <v>1325818</v>
      </c>
      <c r="K35" s="97">
        <v>0.25</v>
      </c>
      <c r="L35" s="98">
        <f t="shared" si="1"/>
        <v>331454.5</v>
      </c>
      <c r="M35" s="97">
        <v>0.7</v>
      </c>
      <c r="N35" s="95">
        <f t="shared" si="2"/>
        <v>1092000</v>
      </c>
      <c r="O35" s="95">
        <f t="shared" si="3"/>
        <v>468000</v>
      </c>
      <c r="P35" s="99">
        <f t="shared" si="12"/>
        <v>120945.5</v>
      </c>
      <c r="Q35" s="132">
        <f t="shared" si="13"/>
        <v>0.21307117668702019</v>
      </c>
      <c r="R35" s="100" t="s">
        <v>35</v>
      </c>
      <c r="S35" s="101">
        <v>3.5000000000000003E-2</v>
      </c>
      <c r="T35" s="102">
        <f t="shared" si="4"/>
        <v>38220</v>
      </c>
      <c r="U35" s="103"/>
      <c r="V35" s="103">
        <v>81000</v>
      </c>
      <c r="W35" s="97"/>
      <c r="X35" s="102">
        <f t="shared" si="14"/>
        <v>81000</v>
      </c>
      <c r="Y35" s="104">
        <f t="shared" si="5"/>
        <v>5.1923076923076926E-2</v>
      </c>
      <c r="Z35" s="101">
        <v>0.21</v>
      </c>
      <c r="AA35" s="102">
        <f t="shared" si="6"/>
        <v>17010</v>
      </c>
      <c r="AB35" s="103"/>
      <c r="AC35" s="105"/>
      <c r="AD35" s="106">
        <f t="shared" si="7"/>
        <v>0.7</v>
      </c>
      <c r="AE35" s="106">
        <f t="shared" si="8"/>
        <v>2.1193092621664049</v>
      </c>
      <c r="AF35" s="107">
        <f t="shared" si="9"/>
        <v>25770</v>
      </c>
      <c r="AG35" s="3"/>
      <c r="AH35" s="3"/>
      <c r="AI35" s="3"/>
      <c r="AJ35" s="3"/>
      <c r="AK35" s="3"/>
      <c r="AL35" s="3"/>
    </row>
    <row r="36" spans="1:38" ht="16.2" thickBot="1" x14ac:dyDescent="0.35">
      <c r="A36" s="109" t="s">
        <v>48</v>
      </c>
      <c r="B36" s="110"/>
      <c r="C36" s="111">
        <f t="shared" ref="C36:E36" si="15">SUM(C22:C35)</f>
        <v>4807182</v>
      </c>
      <c r="D36" s="111"/>
      <c r="E36" s="111">
        <f t="shared" si="15"/>
        <v>17510000</v>
      </c>
      <c r="F36" s="112">
        <f>(G36-E36)/E36</f>
        <v>0</v>
      </c>
      <c r="G36" s="111">
        <f t="shared" ref="G36:J36" si="16">SUM(G22:G35)</f>
        <v>17510000</v>
      </c>
      <c r="H36" s="113">
        <f>I36/G36</f>
        <v>0.01</v>
      </c>
      <c r="I36" s="111">
        <f>SUM(I22:I35)</f>
        <v>175100</v>
      </c>
      <c r="J36" s="111">
        <f t="shared" si="16"/>
        <v>12527718</v>
      </c>
      <c r="K36" s="113">
        <f>L36/J36</f>
        <v>0.25</v>
      </c>
      <c r="L36" s="111">
        <f>SUM(L22:L35)</f>
        <v>3131929.5</v>
      </c>
      <c r="M36" s="114">
        <f>N36/E36</f>
        <v>0.7</v>
      </c>
      <c r="N36" s="111">
        <f t="shared" ref="N36:P36" si="17">SUM(N22:N35)</f>
        <v>12257000</v>
      </c>
      <c r="O36" s="111">
        <f t="shared" si="17"/>
        <v>5253000</v>
      </c>
      <c r="P36" s="111">
        <f t="shared" si="17"/>
        <v>1945970.5000000002</v>
      </c>
      <c r="Q36" s="133">
        <f t="shared" si="13"/>
        <v>0.18033145928985045</v>
      </c>
      <c r="R36" s="111"/>
      <c r="S36" s="112">
        <f>T36/N36</f>
        <v>3.5000000000000003E-2</v>
      </c>
      <c r="T36" s="115">
        <f t="shared" ref="T36:V36" si="18">SUM(T22:T35)</f>
        <v>428995</v>
      </c>
      <c r="U36" s="115">
        <f t="shared" si="18"/>
        <v>0</v>
      </c>
      <c r="V36" s="115">
        <f t="shared" si="18"/>
        <v>967860</v>
      </c>
      <c r="W36" s="112">
        <f>IF(V36=0, "", (X36-V36)/V36)</f>
        <v>0</v>
      </c>
      <c r="X36" s="115">
        <f>SUM(X22:X35)</f>
        <v>967860</v>
      </c>
      <c r="Y36" s="112">
        <f t="shared" si="5"/>
        <v>5.5274700171330668E-2</v>
      </c>
      <c r="Z36" s="112">
        <f>IF(X36=0, "", AA36/X36)</f>
        <v>0.19315324530407288</v>
      </c>
      <c r="AA36" s="115">
        <f>SUM(AA22:AA35)</f>
        <v>186945.3</v>
      </c>
      <c r="AB36" s="115">
        <f>SUM(AB22:AB35)</f>
        <v>1000</v>
      </c>
      <c r="AC36" s="115">
        <f>SUM(AC22:AC35)</f>
        <v>0</v>
      </c>
      <c r="AD36" s="114">
        <f t="shared" si="7"/>
        <v>0.7</v>
      </c>
      <c r="AE36" s="114">
        <f t="shared" si="8"/>
        <v>2.2561102110747213</v>
      </c>
      <c r="AF36" s="116">
        <f>SUM(AF22:AF35)</f>
        <v>350919.69999999995</v>
      </c>
      <c r="AG36" s="3"/>
      <c r="AH36" s="3"/>
      <c r="AI36" s="3"/>
      <c r="AJ36" s="3"/>
      <c r="AK36" s="3"/>
      <c r="AL36" s="3"/>
    </row>
    <row r="37" spans="1:38" x14ac:dyDescent="0.3">
      <c r="A37" s="78" t="s">
        <v>12</v>
      </c>
      <c r="B37" s="79">
        <v>40406</v>
      </c>
      <c r="C37" s="80">
        <v>311920</v>
      </c>
      <c r="D37" s="79">
        <v>44621</v>
      </c>
      <c r="E37" s="81">
        <v>600000</v>
      </c>
      <c r="F37" s="82"/>
      <c r="G37" s="80">
        <f t="shared" ref="G37:G53" si="19">F37*E37+E37</f>
        <v>600000</v>
      </c>
      <c r="H37" s="108">
        <v>0.01</v>
      </c>
      <c r="I37" s="80">
        <f t="shared" si="10"/>
        <v>6000</v>
      </c>
      <c r="J37" s="80">
        <f t="shared" si="11"/>
        <v>282080</v>
      </c>
      <c r="K37" s="82">
        <v>0.28000000000000003</v>
      </c>
      <c r="L37" s="83">
        <f t="shared" ref="L37:L53" si="20">K37*J37</f>
        <v>78982.400000000009</v>
      </c>
      <c r="M37" s="82">
        <v>0.7</v>
      </c>
      <c r="N37" s="80">
        <f t="shared" ref="N37:N53" si="21">M37*E37</f>
        <v>420000</v>
      </c>
      <c r="O37" s="80">
        <f t="shared" ref="O37:O53" si="22">G37-N37</f>
        <v>180000</v>
      </c>
      <c r="P37" s="84">
        <f t="shared" si="12"/>
        <v>95017.599999999977</v>
      </c>
      <c r="Q37" s="132">
        <f t="shared" si="13"/>
        <v>0.20560401441417175</v>
      </c>
      <c r="R37" s="85" t="s">
        <v>35</v>
      </c>
      <c r="S37" s="86">
        <v>3.5000000000000003E-2</v>
      </c>
      <c r="T37" s="87">
        <f t="shared" ref="T37:T53" si="23">S37*N37</f>
        <v>14700.000000000002</v>
      </c>
      <c r="U37" s="88"/>
      <c r="V37" s="88">
        <v>43200</v>
      </c>
      <c r="W37" s="82"/>
      <c r="X37" s="87">
        <f t="shared" ref="X37:X53" si="24">V37*W37+V37</f>
        <v>43200</v>
      </c>
      <c r="Y37" s="89">
        <f t="shared" si="5"/>
        <v>7.1999999999999995E-2</v>
      </c>
      <c r="Z37" s="86">
        <v>0.20749999999999999</v>
      </c>
      <c r="AA37" s="87">
        <f t="shared" ref="AA37:AA53" si="25">Z37*X37</f>
        <v>8964</v>
      </c>
      <c r="AB37" s="88"/>
      <c r="AC37" s="90"/>
      <c r="AD37" s="91">
        <f t="shared" si="7"/>
        <v>0.7</v>
      </c>
      <c r="AE37" s="91">
        <f t="shared" si="8"/>
        <v>2.9387755102040813</v>
      </c>
      <c r="AF37" s="92">
        <f t="shared" ref="AF37:AF53" si="26" xml:space="preserve"> X37 - T37 - U37 - AA37 - AB37</f>
        <v>19536</v>
      </c>
      <c r="AG37" s="3"/>
      <c r="AH37" s="3"/>
      <c r="AI37" s="3"/>
      <c r="AJ37" s="3"/>
      <c r="AK37" s="3"/>
      <c r="AL37" s="3"/>
    </row>
    <row r="38" spans="1:38" x14ac:dyDescent="0.3">
      <c r="A38" s="75" t="s">
        <v>13</v>
      </c>
      <c r="B38" s="60">
        <v>39616</v>
      </c>
      <c r="C38" s="61">
        <v>324341</v>
      </c>
      <c r="D38" s="60">
        <v>44621</v>
      </c>
      <c r="E38" s="62">
        <v>570000</v>
      </c>
      <c r="F38" s="63"/>
      <c r="G38" s="61">
        <f t="shared" si="19"/>
        <v>570000</v>
      </c>
      <c r="H38" s="63">
        <v>0.01</v>
      </c>
      <c r="I38" s="61">
        <f t="shared" si="10"/>
        <v>5700</v>
      </c>
      <c r="J38" s="61">
        <f t="shared" si="11"/>
        <v>239959</v>
      </c>
      <c r="K38" s="63">
        <v>0.28000000000000003</v>
      </c>
      <c r="L38" s="64">
        <f t="shared" si="20"/>
        <v>67188.52</v>
      </c>
      <c r="M38" s="63">
        <v>0.7</v>
      </c>
      <c r="N38" s="61">
        <f t="shared" si="21"/>
        <v>399000</v>
      </c>
      <c r="O38" s="61">
        <f t="shared" si="22"/>
        <v>171000</v>
      </c>
      <c r="P38" s="65">
        <f t="shared" si="12"/>
        <v>98111.479999999981</v>
      </c>
      <c r="Q38" s="132">
        <f t="shared" si="13"/>
        <v>0.24593452264709498</v>
      </c>
      <c r="R38" s="66" t="s">
        <v>35</v>
      </c>
      <c r="S38" s="67">
        <v>3.5000000000000003E-2</v>
      </c>
      <c r="T38" s="68">
        <f t="shared" si="23"/>
        <v>13965.000000000002</v>
      </c>
      <c r="U38" s="69"/>
      <c r="V38" s="69">
        <v>42000</v>
      </c>
      <c r="W38" s="63"/>
      <c r="X38" s="68">
        <f t="shared" si="24"/>
        <v>42000</v>
      </c>
      <c r="Y38" s="70">
        <f t="shared" si="5"/>
        <v>7.3684210526315783E-2</v>
      </c>
      <c r="Z38" s="67">
        <v>9.2999999999999999E-2</v>
      </c>
      <c r="AA38" s="68">
        <f t="shared" si="25"/>
        <v>3906</v>
      </c>
      <c r="AB38" s="69"/>
      <c r="AC38" s="71"/>
      <c r="AD38" s="72">
        <f t="shared" si="7"/>
        <v>0.7</v>
      </c>
      <c r="AE38" s="72">
        <f t="shared" si="8"/>
        <v>3.0075187969924806</v>
      </c>
      <c r="AF38" s="76">
        <f t="shared" si="26"/>
        <v>24129</v>
      </c>
      <c r="AG38" s="3"/>
      <c r="AH38" s="3"/>
      <c r="AI38" s="3"/>
      <c r="AJ38" s="3"/>
      <c r="AK38" s="3"/>
      <c r="AL38" s="3"/>
    </row>
    <row r="39" spans="1:38" x14ac:dyDescent="0.3">
      <c r="A39" s="75" t="s">
        <v>14</v>
      </c>
      <c r="B39" s="60">
        <v>42216</v>
      </c>
      <c r="C39" s="61">
        <v>370000</v>
      </c>
      <c r="D39" s="60">
        <v>44621</v>
      </c>
      <c r="E39" s="62">
        <v>440000</v>
      </c>
      <c r="F39" s="63"/>
      <c r="G39" s="61">
        <f t="shared" si="19"/>
        <v>440000</v>
      </c>
      <c r="H39" s="63">
        <v>0.01</v>
      </c>
      <c r="I39" s="61">
        <f t="shared" si="10"/>
        <v>4400</v>
      </c>
      <c r="J39" s="61">
        <f t="shared" si="11"/>
        <v>65600</v>
      </c>
      <c r="K39" s="63">
        <v>0.28000000000000003</v>
      </c>
      <c r="L39" s="64">
        <f t="shared" si="20"/>
        <v>18368</v>
      </c>
      <c r="M39" s="63">
        <v>0.7</v>
      </c>
      <c r="N39" s="61">
        <f t="shared" si="21"/>
        <v>308000</v>
      </c>
      <c r="O39" s="61">
        <f t="shared" si="22"/>
        <v>132000</v>
      </c>
      <c r="P39" s="65">
        <f t="shared" si="12"/>
        <v>109232</v>
      </c>
      <c r="Q39" s="132">
        <f t="shared" si="13"/>
        <v>0.11136941555588105</v>
      </c>
      <c r="R39" s="66" t="s">
        <v>35</v>
      </c>
      <c r="S39" s="67">
        <v>3.5000000000000003E-2</v>
      </c>
      <c r="T39" s="68">
        <f t="shared" si="23"/>
        <v>10780.000000000002</v>
      </c>
      <c r="U39" s="69"/>
      <c r="V39" s="69">
        <v>28119</v>
      </c>
      <c r="W39" s="63"/>
      <c r="X39" s="68">
        <f t="shared" si="24"/>
        <v>28119</v>
      </c>
      <c r="Y39" s="70">
        <f t="shared" si="5"/>
        <v>6.3906818181818176E-2</v>
      </c>
      <c r="Z39" s="67">
        <v>0.184</v>
      </c>
      <c r="AA39" s="68">
        <f t="shared" si="25"/>
        <v>5173.8959999999997</v>
      </c>
      <c r="AB39" s="69"/>
      <c r="AC39" s="71"/>
      <c r="AD39" s="72">
        <f t="shared" si="7"/>
        <v>0.7</v>
      </c>
      <c r="AE39" s="72">
        <f t="shared" si="8"/>
        <v>2.6084415584415579</v>
      </c>
      <c r="AF39" s="76">
        <f t="shared" si="26"/>
        <v>12165.103999999999</v>
      </c>
      <c r="AG39" s="3"/>
      <c r="AH39" s="3"/>
      <c r="AI39" s="3"/>
      <c r="AJ39" s="3"/>
      <c r="AK39" s="3"/>
      <c r="AL39" s="3"/>
    </row>
    <row r="40" spans="1:38" x14ac:dyDescent="0.3">
      <c r="A40" s="75" t="s">
        <v>15</v>
      </c>
      <c r="B40" s="60">
        <v>40774</v>
      </c>
      <c r="C40" s="61">
        <v>316000</v>
      </c>
      <c r="D40" s="60">
        <v>44621</v>
      </c>
      <c r="E40" s="62">
        <v>550000</v>
      </c>
      <c r="F40" s="63"/>
      <c r="G40" s="61">
        <f t="shared" si="19"/>
        <v>550000</v>
      </c>
      <c r="H40" s="63">
        <v>0.01</v>
      </c>
      <c r="I40" s="61">
        <f t="shared" si="10"/>
        <v>5500</v>
      </c>
      <c r="J40" s="61">
        <f t="shared" si="11"/>
        <v>228500</v>
      </c>
      <c r="K40" s="63">
        <v>0.28000000000000003</v>
      </c>
      <c r="L40" s="64">
        <f t="shared" si="20"/>
        <v>63980.000000000007</v>
      </c>
      <c r="M40" s="63">
        <v>0.7</v>
      </c>
      <c r="N40" s="61">
        <f t="shared" si="21"/>
        <v>385000</v>
      </c>
      <c r="O40" s="61">
        <f t="shared" si="22"/>
        <v>165000</v>
      </c>
      <c r="P40" s="65">
        <f t="shared" si="12"/>
        <v>95520</v>
      </c>
      <c r="Q40" s="132">
        <f t="shared" si="13"/>
        <v>0.22882956448911221</v>
      </c>
      <c r="R40" s="66" t="s">
        <v>35</v>
      </c>
      <c r="S40" s="67">
        <v>3.5000000000000003E-2</v>
      </c>
      <c r="T40" s="68">
        <f t="shared" si="23"/>
        <v>13475.000000000002</v>
      </c>
      <c r="U40" s="69"/>
      <c r="V40" s="69">
        <v>40800</v>
      </c>
      <c r="W40" s="63"/>
      <c r="X40" s="68">
        <f t="shared" si="24"/>
        <v>40800</v>
      </c>
      <c r="Y40" s="70">
        <f t="shared" si="5"/>
        <v>7.4181818181818182E-2</v>
      </c>
      <c r="Z40" s="67">
        <v>0.13400000000000001</v>
      </c>
      <c r="AA40" s="68">
        <f t="shared" si="25"/>
        <v>5467.2000000000007</v>
      </c>
      <c r="AB40" s="69"/>
      <c r="AC40" s="71"/>
      <c r="AD40" s="72">
        <f t="shared" si="7"/>
        <v>0.7</v>
      </c>
      <c r="AE40" s="72">
        <f t="shared" si="8"/>
        <v>3.0278293135435987</v>
      </c>
      <c r="AF40" s="76">
        <f t="shared" si="26"/>
        <v>21857.8</v>
      </c>
      <c r="AG40" s="3"/>
      <c r="AH40" s="3"/>
      <c r="AI40" s="3"/>
      <c r="AJ40" s="3"/>
      <c r="AK40" s="3"/>
      <c r="AL40" s="3"/>
    </row>
    <row r="41" spans="1:38" x14ac:dyDescent="0.3">
      <c r="A41" s="75" t="s">
        <v>16</v>
      </c>
      <c r="B41" s="60">
        <v>39598</v>
      </c>
      <c r="C41" s="61">
        <v>486495</v>
      </c>
      <c r="D41" s="60">
        <v>44621</v>
      </c>
      <c r="E41" s="62">
        <v>825000</v>
      </c>
      <c r="F41" s="63"/>
      <c r="G41" s="61">
        <f t="shared" si="19"/>
        <v>825000</v>
      </c>
      <c r="H41" s="63">
        <v>0.01</v>
      </c>
      <c r="I41" s="61">
        <f t="shared" si="10"/>
        <v>8250</v>
      </c>
      <c r="J41" s="61">
        <f t="shared" si="11"/>
        <v>330255</v>
      </c>
      <c r="K41" s="63">
        <v>0.28000000000000003</v>
      </c>
      <c r="L41" s="64">
        <f t="shared" si="20"/>
        <v>92471.400000000009</v>
      </c>
      <c r="M41" s="63">
        <v>0.7</v>
      </c>
      <c r="N41" s="61">
        <f t="shared" si="21"/>
        <v>577500</v>
      </c>
      <c r="O41" s="61">
        <f t="shared" si="22"/>
        <v>247500</v>
      </c>
      <c r="P41" s="65">
        <f t="shared" si="12"/>
        <v>146778.59999999998</v>
      </c>
      <c r="Q41" s="132">
        <f t="shared" si="13"/>
        <v>0.15676059044029581</v>
      </c>
      <c r="R41" s="66" t="s">
        <v>35</v>
      </c>
      <c r="S41" s="67">
        <v>3.5000000000000003E-2</v>
      </c>
      <c r="T41" s="68">
        <f t="shared" si="23"/>
        <v>20212.500000000004</v>
      </c>
      <c r="U41" s="69"/>
      <c r="V41" s="69">
        <v>55200</v>
      </c>
      <c r="W41" s="63"/>
      <c r="X41" s="68">
        <f t="shared" si="24"/>
        <v>55200</v>
      </c>
      <c r="Y41" s="70">
        <f t="shared" si="5"/>
        <v>6.6909090909090904E-2</v>
      </c>
      <c r="Z41" s="67">
        <v>0.217</v>
      </c>
      <c r="AA41" s="68">
        <f t="shared" si="25"/>
        <v>11978.4</v>
      </c>
      <c r="AB41" s="69"/>
      <c r="AC41" s="71"/>
      <c r="AD41" s="72">
        <f t="shared" si="7"/>
        <v>0.7</v>
      </c>
      <c r="AE41" s="72">
        <f t="shared" si="8"/>
        <v>2.7309833024118735</v>
      </c>
      <c r="AF41" s="76">
        <f t="shared" si="26"/>
        <v>23009.1</v>
      </c>
      <c r="AG41" s="3"/>
      <c r="AH41" s="3"/>
      <c r="AI41" s="3"/>
      <c r="AJ41" s="3"/>
      <c r="AK41" s="3"/>
      <c r="AL41" s="3"/>
    </row>
    <row r="42" spans="1:38" x14ac:dyDescent="0.3">
      <c r="A42" s="75" t="s">
        <v>17</v>
      </c>
      <c r="B42" s="60">
        <v>41309</v>
      </c>
      <c r="C42" s="61">
        <v>256900</v>
      </c>
      <c r="D42" s="60">
        <v>44621</v>
      </c>
      <c r="E42" s="62">
        <v>500000</v>
      </c>
      <c r="F42" s="63"/>
      <c r="G42" s="61">
        <f t="shared" si="19"/>
        <v>500000</v>
      </c>
      <c r="H42" s="63">
        <v>0.01</v>
      </c>
      <c r="I42" s="61">
        <f t="shared" si="10"/>
        <v>5000</v>
      </c>
      <c r="J42" s="61">
        <f t="shared" si="11"/>
        <v>238100</v>
      </c>
      <c r="K42" s="63">
        <v>0.28000000000000003</v>
      </c>
      <c r="L42" s="64">
        <f t="shared" si="20"/>
        <v>66668</v>
      </c>
      <c r="M42" s="63">
        <v>0.7</v>
      </c>
      <c r="N42" s="61">
        <f t="shared" si="21"/>
        <v>350000</v>
      </c>
      <c r="O42" s="61">
        <f t="shared" si="22"/>
        <v>150000</v>
      </c>
      <c r="P42" s="65">
        <f t="shared" si="12"/>
        <v>78332</v>
      </c>
      <c r="Q42" s="132">
        <f t="shared" si="13"/>
        <v>0.1735944441607517</v>
      </c>
      <c r="R42" s="66" t="s">
        <v>35</v>
      </c>
      <c r="S42" s="67">
        <v>3.5000000000000003E-2</v>
      </c>
      <c r="T42" s="68">
        <f t="shared" si="23"/>
        <v>12250.000000000002</v>
      </c>
      <c r="U42" s="69"/>
      <c r="V42" s="69">
        <v>36000</v>
      </c>
      <c r="W42" s="63"/>
      <c r="X42" s="68">
        <f t="shared" si="24"/>
        <v>36000</v>
      </c>
      <c r="Y42" s="70">
        <f t="shared" si="5"/>
        <v>7.1999999999999995E-2</v>
      </c>
      <c r="Z42" s="67">
        <v>0.28199999999999997</v>
      </c>
      <c r="AA42" s="68">
        <f t="shared" si="25"/>
        <v>10151.999999999998</v>
      </c>
      <c r="AB42" s="69"/>
      <c r="AC42" s="71"/>
      <c r="AD42" s="72">
        <f t="shared" si="7"/>
        <v>0.7</v>
      </c>
      <c r="AE42" s="72">
        <f t="shared" si="8"/>
        <v>2.9387755102040813</v>
      </c>
      <c r="AF42" s="76">
        <f t="shared" si="26"/>
        <v>13598.000000000002</v>
      </c>
      <c r="AG42" s="3"/>
      <c r="AH42" s="3"/>
      <c r="AI42" s="3"/>
      <c r="AJ42" s="3"/>
      <c r="AK42" s="3"/>
      <c r="AL42" s="3"/>
    </row>
    <row r="43" spans="1:38" x14ac:dyDescent="0.3">
      <c r="A43" s="75" t="s">
        <v>18</v>
      </c>
      <c r="B43" s="60">
        <v>40989</v>
      </c>
      <c r="C43" s="61">
        <v>279653</v>
      </c>
      <c r="D43" s="60">
        <v>44621</v>
      </c>
      <c r="E43" s="62">
        <v>500000</v>
      </c>
      <c r="F43" s="63"/>
      <c r="G43" s="61">
        <f t="shared" si="19"/>
        <v>500000</v>
      </c>
      <c r="H43" s="63">
        <v>0.01</v>
      </c>
      <c r="I43" s="61">
        <f t="shared" si="10"/>
        <v>5000</v>
      </c>
      <c r="J43" s="61">
        <f t="shared" si="11"/>
        <v>215347</v>
      </c>
      <c r="K43" s="63">
        <v>0.28000000000000003</v>
      </c>
      <c r="L43" s="64">
        <f t="shared" si="20"/>
        <v>60297.16</v>
      </c>
      <c r="M43" s="63">
        <v>0.7</v>
      </c>
      <c r="N43" s="61">
        <f t="shared" si="21"/>
        <v>350000</v>
      </c>
      <c r="O43" s="61">
        <f t="shared" si="22"/>
        <v>150000</v>
      </c>
      <c r="P43" s="65">
        <f t="shared" si="12"/>
        <v>84702.839999999967</v>
      </c>
      <c r="Q43" s="132">
        <f t="shared" si="13"/>
        <v>0.20014913313414293</v>
      </c>
      <c r="R43" s="66" t="s">
        <v>35</v>
      </c>
      <c r="S43" s="67">
        <v>3.5000000000000003E-2</v>
      </c>
      <c r="T43" s="68">
        <f t="shared" si="23"/>
        <v>12250.000000000002</v>
      </c>
      <c r="U43" s="69"/>
      <c r="V43" s="69">
        <v>37440</v>
      </c>
      <c r="W43" s="63"/>
      <c r="X43" s="68">
        <f t="shared" si="24"/>
        <v>37440</v>
      </c>
      <c r="Y43" s="70">
        <f t="shared" si="5"/>
        <v>7.4880000000000002E-2</v>
      </c>
      <c r="Z43" s="67">
        <v>0.22</v>
      </c>
      <c r="AA43" s="68">
        <f t="shared" si="25"/>
        <v>8236.7999999999993</v>
      </c>
      <c r="AB43" s="69"/>
      <c r="AC43" s="71"/>
      <c r="AD43" s="72">
        <f t="shared" si="7"/>
        <v>0.7</v>
      </c>
      <c r="AE43" s="72">
        <f t="shared" si="8"/>
        <v>3.0563265306122442</v>
      </c>
      <c r="AF43" s="76">
        <f t="shared" si="26"/>
        <v>16953.2</v>
      </c>
      <c r="AG43" s="3"/>
      <c r="AH43" s="3"/>
      <c r="AI43" s="3"/>
      <c r="AJ43" s="3"/>
      <c r="AK43" s="3"/>
      <c r="AL43" s="3"/>
    </row>
    <row r="44" spans="1:38" x14ac:dyDescent="0.3">
      <c r="A44" s="75" t="s">
        <v>19</v>
      </c>
      <c r="B44" s="60">
        <v>42202</v>
      </c>
      <c r="C44" s="61">
        <v>581113</v>
      </c>
      <c r="D44" s="60">
        <v>44621</v>
      </c>
      <c r="E44" s="62">
        <v>625000</v>
      </c>
      <c r="F44" s="63"/>
      <c r="G44" s="61">
        <f t="shared" si="19"/>
        <v>625000</v>
      </c>
      <c r="H44" s="63">
        <v>0.01</v>
      </c>
      <c r="I44" s="61">
        <f t="shared" si="10"/>
        <v>6250</v>
      </c>
      <c r="J44" s="61">
        <f t="shared" si="11"/>
        <v>37637</v>
      </c>
      <c r="K44" s="63">
        <v>0.28000000000000003</v>
      </c>
      <c r="L44" s="64">
        <f t="shared" si="20"/>
        <v>10538.36</v>
      </c>
      <c r="M44" s="63">
        <v>0.7</v>
      </c>
      <c r="N44" s="61">
        <f t="shared" si="21"/>
        <v>437500</v>
      </c>
      <c r="O44" s="61">
        <f t="shared" si="22"/>
        <v>187500</v>
      </c>
      <c r="P44" s="65">
        <f t="shared" si="12"/>
        <v>170711.64</v>
      </c>
      <c r="Q44" s="132">
        <f t="shared" si="13"/>
        <v>0.1757671591696969</v>
      </c>
      <c r="R44" s="66" t="s">
        <v>35</v>
      </c>
      <c r="S44" s="67">
        <v>3.5000000000000003E-2</v>
      </c>
      <c r="T44" s="68">
        <f t="shared" si="23"/>
        <v>15312.500000000002</v>
      </c>
      <c r="U44" s="69"/>
      <c r="V44" s="69">
        <v>49800</v>
      </c>
      <c r="W44" s="63"/>
      <c r="X44" s="68">
        <f t="shared" si="24"/>
        <v>49800</v>
      </c>
      <c r="Y44" s="70">
        <f t="shared" si="5"/>
        <v>7.9680000000000001E-2</v>
      </c>
      <c r="Z44" s="67">
        <v>0.09</v>
      </c>
      <c r="AA44" s="68">
        <f t="shared" si="25"/>
        <v>4482</v>
      </c>
      <c r="AB44" s="69"/>
      <c r="AC44" s="71"/>
      <c r="AD44" s="72">
        <f t="shared" si="7"/>
        <v>0.7</v>
      </c>
      <c r="AE44" s="72">
        <f t="shared" si="8"/>
        <v>3.2522448979591831</v>
      </c>
      <c r="AF44" s="76">
        <f t="shared" si="26"/>
        <v>30005.5</v>
      </c>
      <c r="AG44" s="3"/>
      <c r="AH44" s="3"/>
      <c r="AI44" s="3"/>
      <c r="AJ44" s="3"/>
      <c r="AK44" s="3"/>
      <c r="AL44" s="3"/>
    </row>
    <row r="45" spans="1:38" x14ac:dyDescent="0.3">
      <c r="A45" s="75" t="s">
        <v>49</v>
      </c>
      <c r="B45" s="60">
        <v>41899</v>
      </c>
      <c r="C45" s="61">
        <v>420000</v>
      </c>
      <c r="D45" s="60">
        <v>44621</v>
      </c>
      <c r="E45" s="62">
        <v>600000</v>
      </c>
      <c r="F45" s="63"/>
      <c r="G45" s="61">
        <f t="shared" si="19"/>
        <v>600000</v>
      </c>
      <c r="H45" s="63">
        <v>0.01</v>
      </c>
      <c r="I45" s="61">
        <f t="shared" si="10"/>
        <v>6000</v>
      </c>
      <c r="J45" s="61">
        <f t="shared" si="11"/>
        <v>174000</v>
      </c>
      <c r="K45" s="63">
        <v>0.28000000000000003</v>
      </c>
      <c r="L45" s="64">
        <f t="shared" si="20"/>
        <v>48720.000000000007</v>
      </c>
      <c r="M45" s="63">
        <v>0.7</v>
      </c>
      <c r="N45" s="61">
        <f t="shared" si="21"/>
        <v>420000</v>
      </c>
      <c r="O45" s="61">
        <f t="shared" si="22"/>
        <v>180000</v>
      </c>
      <c r="P45" s="65">
        <f t="shared" si="12"/>
        <v>125280</v>
      </c>
      <c r="Q45" s="132">
        <f t="shared" si="13"/>
        <v>0.16733716475095786</v>
      </c>
      <c r="R45" s="66" t="s">
        <v>35</v>
      </c>
      <c r="S45" s="67">
        <v>3.5000000000000003E-2</v>
      </c>
      <c r="T45" s="68">
        <f t="shared" si="23"/>
        <v>14700.000000000002</v>
      </c>
      <c r="U45" s="69"/>
      <c r="V45" s="69">
        <v>48000</v>
      </c>
      <c r="W45" s="63"/>
      <c r="X45" s="68">
        <f t="shared" si="24"/>
        <v>48000</v>
      </c>
      <c r="Y45" s="70">
        <f t="shared" si="5"/>
        <v>0.08</v>
      </c>
      <c r="Z45" s="67">
        <v>0.25700000000000001</v>
      </c>
      <c r="AA45" s="68">
        <f t="shared" si="25"/>
        <v>12336</v>
      </c>
      <c r="AB45" s="69"/>
      <c r="AC45" s="71"/>
      <c r="AD45" s="72">
        <f t="shared" si="7"/>
        <v>0.7</v>
      </c>
      <c r="AE45" s="72">
        <f t="shared" si="8"/>
        <v>3.2653061224489792</v>
      </c>
      <c r="AF45" s="76">
        <f t="shared" si="26"/>
        <v>20964</v>
      </c>
      <c r="AG45" s="3"/>
      <c r="AH45" s="3"/>
      <c r="AI45" s="3"/>
      <c r="AJ45" s="3"/>
      <c r="AK45" s="3"/>
      <c r="AL45" s="3"/>
    </row>
    <row r="46" spans="1:38" x14ac:dyDescent="0.3">
      <c r="A46" s="75" t="s">
        <v>20</v>
      </c>
      <c r="B46" s="60">
        <v>39819</v>
      </c>
      <c r="C46" s="61">
        <v>292500</v>
      </c>
      <c r="D46" s="60">
        <v>44621</v>
      </c>
      <c r="E46" s="62">
        <v>700000</v>
      </c>
      <c r="F46" s="63"/>
      <c r="G46" s="61">
        <f t="shared" si="19"/>
        <v>700000</v>
      </c>
      <c r="H46" s="63">
        <v>0.01</v>
      </c>
      <c r="I46" s="61">
        <f t="shared" si="10"/>
        <v>7000</v>
      </c>
      <c r="J46" s="61">
        <f t="shared" si="11"/>
        <v>400500</v>
      </c>
      <c r="K46" s="63">
        <v>0.28000000000000003</v>
      </c>
      <c r="L46" s="64">
        <f t="shared" si="20"/>
        <v>112140.00000000001</v>
      </c>
      <c r="M46" s="63">
        <v>0.7</v>
      </c>
      <c r="N46" s="61">
        <f t="shared" si="21"/>
        <v>489999.99999999994</v>
      </c>
      <c r="O46" s="61">
        <f t="shared" si="22"/>
        <v>210000.00000000006</v>
      </c>
      <c r="P46" s="65">
        <f t="shared" si="12"/>
        <v>90860.000000000058</v>
      </c>
      <c r="Q46" s="132">
        <f t="shared" si="13"/>
        <v>0.17048206031256868</v>
      </c>
      <c r="R46" s="66" t="s">
        <v>35</v>
      </c>
      <c r="S46" s="67">
        <v>3.5000000000000003E-2</v>
      </c>
      <c r="T46" s="68">
        <f t="shared" si="23"/>
        <v>17150</v>
      </c>
      <c r="U46" s="69"/>
      <c r="V46" s="69">
        <v>40800</v>
      </c>
      <c r="W46" s="63"/>
      <c r="X46" s="68">
        <f t="shared" si="24"/>
        <v>40800</v>
      </c>
      <c r="Y46" s="70">
        <f t="shared" si="5"/>
        <v>5.8285714285714288E-2</v>
      </c>
      <c r="Z46" s="67">
        <v>0.2</v>
      </c>
      <c r="AA46" s="68">
        <f t="shared" si="25"/>
        <v>8160</v>
      </c>
      <c r="AB46" s="69"/>
      <c r="AC46" s="71"/>
      <c r="AD46" s="72">
        <f t="shared" si="7"/>
        <v>0.7</v>
      </c>
      <c r="AE46" s="72">
        <f t="shared" si="8"/>
        <v>2.379008746355685</v>
      </c>
      <c r="AF46" s="76">
        <f t="shared" si="26"/>
        <v>15490</v>
      </c>
      <c r="AG46" s="3"/>
      <c r="AH46" s="3"/>
      <c r="AI46" s="3"/>
      <c r="AJ46" s="3"/>
      <c r="AK46" s="3"/>
      <c r="AL46" s="3"/>
    </row>
    <row r="47" spans="1:38" x14ac:dyDescent="0.3">
      <c r="A47" s="75" t="s">
        <v>21</v>
      </c>
      <c r="B47" s="60">
        <v>41836</v>
      </c>
      <c r="C47" s="61">
        <v>435000</v>
      </c>
      <c r="D47" s="60">
        <v>44621</v>
      </c>
      <c r="E47" s="62">
        <v>700000</v>
      </c>
      <c r="F47" s="63"/>
      <c r="G47" s="61">
        <f t="shared" si="19"/>
        <v>700000</v>
      </c>
      <c r="H47" s="63">
        <v>0.01</v>
      </c>
      <c r="I47" s="61">
        <f t="shared" si="10"/>
        <v>7000</v>
      </c>
      <c r="J47" s="61">
        <f t="shared" si="11"/>
        <v>258000</v>
      </c>
      <c r="K47" s="63">
        <v>0.28000000000000003</v>
      </c>
      <c r="L47" s="64">
        <f t="shared" si="20"/>
        <v>72240</v>
      </c>
      <c r="M47" s="63">
        <v>0.7</v>
      </c>
      <c r="N47" s="61">
        <f t="shared" si="21"/>
        <v>489999.99999999994</v>
      </c>
      <c r="O47" s="61">
        <f t="shared" si="22"/>
        <v>210000.00000000006</v>
      </c>
      <c r="P47" s="65">
        <f t="shared" si="12"/>
        <v>130760.00000000006</v>
      </c>
      <c r="Q47" s="132">
        <f t="shared" si="13"/>
        <v>0.12653716732945849</v>
      </c>
      <c r="R47" s="66" t="s">
        <v>35</v>
      </c>
      <c r="S47" s="67">
        <v>3.5000000000000003E-2</v>
      </c>
      <c r="T47" s="68">
        <f t="shared" si="23"/>
        <v>17150</v>
      </c>
      <c r="U47" s="69"/>
      <c r="V47" s="69">
        <v>46800</v>
      </c>
      <c r="W47" s="63"/>
      <c r="X47" s="68">
        <f t="shared" si="24"/>
        <v>46800</v>
      </c>
      <c r="Y47" s="70">
        <f t="shared" si="5"/>
        <v>6.6857142857142851E-2</v>
      </c>
      <c r="Z47" s="67">
        <v>0.28000000000000003</v>
      </c>
      <c r="AA47" s="68">
        <f t="shared" si="25"/>
        <v>13104.000000000002</v>
      </c>
      <c r="AB47" s="69"/>
      <c r="AC47" s="71"/>
      <c r="AD47" s="72">
        <f t="shared" si="7"/>
        <v>0.7</v>
      </c>
      <c r="AE47" s="72">
        <f t="shared" si="8"/>
        <v>2.7288629737609331</v>
      </c>
      <c r="AF47" s="76">
        <f t="shared" si="26"/>
        <v>16546</v>
      </c>
      <c r="AG47" s="3"/>
      <c r="AH47" s="3"/>
      <c r="AI47" s="3"/>
      <c r="AJ47" s="3"/>
      <c r="AK47" s="3"/>
      <c r="AL47" s="3"/>
    </row>
    <row r="48" spans="1:38" x14ac:dyDescent="0.3">
      <c r="A48" s="75" t="s">
        <v>50</v>
      </c>
      <c r="B48" s="60">
        <v>40011</v>
      </c>
      <c r="C48" s="61">
        <v>182500</v>
      </c>
      <c r="D48" s="60">
        <v>44621</v>
      </c>
      <c r="E48" s="62">
        <v>465000</v>
      </c>
      <c r="F48" s="63"/>
      <c r="G48" s="61">
        <f t="shared" si="19"/>
        <v>465000</v>
      </c>
      <c r="H48" s="63">
        <v>0.01</v>
      </c>
      <c r="I48" s="61">
        <f t="shared" si="10"/>
        <v>4650</v>
      </c>
      <c r="J48" s="61">
        <f t="shared" si="11"/>
        <v>277850</v>
      </c>
      <c r="K48" s="63">
        <v>0.28000000000000003</v>
      </c>
      <c r="L48" s="64">
        <f t="shared" si="20"/>
        <v>77798.000000000015</v>
      </c>
      <c r="M48" s="63">
        <v>0.7</v>
      </c>
      <c r="N48" s="61">
        <f t="shared" si="21"/>
        <v>325500</v>
      </c>
      <c r="O48" s="61">
        <f t="shared" si="22"/>
        <v>139500</v>
      </c>
      <c r="P48" s="65">
        <f t="shared" si="12"/>
        <v>57052</v>
      </c>
      <c r="Q48" s="132">
        <f t="shared" si="13"/>
        <v>9.8680501998177073E-2</v>
      </c>
      <c r="R48" s="66" t="s">
        <v>35</v>
      </c>
      <c r="S48" s="67">
        <v>3.5000000000000003E-2</v>
      </c>
      <c r="T48" s="68">
        <f t="shared" si="23"/>
        <v>11392.500000000002</v>
      </c>
      <c r="U48" s="69"/>
      <c r="V48" s="69">
        <v>26100</v>
      </c>
      <c r="W48" s="63"/>
      <c r="X48" s="68">
        <f t="shared" si="24"/>
        <v>26100</v>
      </c>
      <c r="Y48" s="70">
        <f t="shared" si="5"/>
        <v>5.6129032258064517E-2</v>
      </c>
      <c r="Z48" s="67">
        <v>0.3478</v>
      </c>
      <c r="AA48" s="68">
        <f t="shared" si="25"/>
        <v>9077.58</v>
      </c>
      <c r="AB48" s="69"/>
      <c r="AC48" s="71"/>
      <c r="AD48" s="72">
        <f t="shared" si="7"/>
        <v>0.7</v>
      </c>
      <c r="AE48" s="72">
        <f t="shared" si="8"/>
        <v>2.2909809084924291</v>
      </c>
      <c r="AF48" s="76">
        <f t="shared" si="26"/>
        <v>5629.9199999999983</v>
      </c>
      <c r="AG48" s="3"/>
      <c r="AH48" s="3"/>
      <c r="AI48" s="3"/>
      <c r="AJ48" s="3"/>
      <c r="AK48" s="3"/>
      <c r="AL48" s="3"/>
    </row>
    <row r="49" spans="1:38" x14ac:dyDescent="0.3">
      <c r="A49" s="75" t="s">
        <v>51</v>
      </c>
      <c r="B49" s="60">
        <v>40011</v>
      </c>
      <c r="C49" s="61">
        <v>182500</v>
      </c>
      <c r="D49" s="60">
        <v>44621</v>
      </c>
      <c r="E49" s="62">
        <v>450000</v>
      </c>
      <c r="F49" s="63"/>
      <c r="G49" s="61">
        <f t="shared" si="19"/>
        <v>450000</v>
      </c>
      <c r="H49" s="63">
        <v>0.01</v>
      </c>
      <c r="I49" s="61">
        <f t="shared" si="10"/>
        <v>4500</v>
      </c>
      <c r="J49" s="61">
        <f t="shared" si="11"/>
        <v>263000</v>
      </c>
      <c r="K49" s="63">
        <v>0.28000000000000003</v>
      </c>
      <c r="L49" s="64">
        <f t="shared" si="20"/>
        <v>73640</v>
      </c>
      <c r="M49" s="63">
        <v>0.7</v>
      </c>
      <c r="N49" s="61">
        <f t="shared" si="21"/>
        <v>315000</v>
      </c>
      <c r="O49" s="61">
        <f t="shared" si="22"/>
        <v>135000</v>
      </c>
      <c r="P49" s="65">
        <f t="shared" si="12"/>
        <v>56860</v>
      </c>
      <c r="Q49" s="132">
        <f t="shared" si="13"/>
        <v>0.14051354203306363</v>
      </c>
      <c r="R49" s="66" t="s">
        <v>35</v>
      </c>
      <c r="S49" s="67">
        <v>3.5000000000000003E-2</v>
      </c>
      <c r="T49" s="68">
        <f t="shared" si="23"/>
        <v>11025.000000000002</v>
      </c>
      <c r="U49" s="69"/>
      <c r="V49" s="69">
        <v>25800</v>
      </c>
      <c r="W49" s="63"/>
      <c r="X49" s="68">
        <f t="shared" si="24"/>
        <v>25800</v>
      </c>
      <c r="Y49" s="70">
        <f t="shared" si="5"/>
        <v>5.7333333333333333E-2</v>
      </c>
      <c r="Z49" s="67">
        <v>0.26300000000000001</v>
      </c>
      <c r="AA49" s="68">
        <f t="shared" si="25"/>
        <v>6785.4000000000005</v>
      </c>
      <c r="AB49" s="69"/>
      <c r="AC49" s="71"/>
      <c r="AD49" s="72">
        <f t="shared" si="7"/>
        <v>0.7</v>
      </c>
      <c r="AE49" s="72">
        <f t="shared" si="8"/>
        <v>2.3401360544217682</v>
      </c>
      <c r="AF49" s="76">
        <f t="shared" si="26"/>
        <v>7989.5999999999976</v>
      </c>
      <c r="AG49" s="3"/>
      <c r="AH49" s="3"/>
      <c r="AI49" s="3"/>
      <c r="AJ49" s="3"/>
      <c r="AK49" s="3"/>
      <c r="AL49" s="3"/>
    </row>
    <row r="50" spans="1:38" x14ac:dyDescent="0.3">
      <c r="A50" s="75" t="s">
        <v>52</v>
      </c>
      <c r="B50" s="60">
        <v>40011</v>
      </c>
      <c r="C50" s="61">
        <v>380000</v>
      </c>
      <c r="D50" s="60">
        <v>44621</v>
      </c>
      <c r="E50" s="62">
        <v>425000</v>
      </c>
      <c r="F50" s="63"/>
      <c r="G50" s="61">
        <f t="shared" si="19"/>
        <v>425000</v>
      </c>
      <c r="H50" s="63">
        <v>0.01</v>
      </c>
      <c r="I50" s="61">
        <f t="shared" si="10"/>
        <v>4250</v>
      </c>
      <c r="J50" s="61">
        <f t="shared" si="11"/>
        <v>40750</v>
      </c>
      <c r="K50" s="63">
        <v>0.28000000000000003</v>
      </c>
      <c r="L50" s="64">
        <f t="shared" si="20"/>
        <v>11410.000000000002</v>
      </c>
      <c r="M50" s="63">
        <v>0.7</v>
      </c>
      <c r="N50" s="61">
        <f t="shared" si="21"/>
        <v>297500</v>
      </c>
      <c r="O50" s="61">
        <f t="shared" si="22"/>
        <v>127500</v>
      </c>
      <c r="P50" s="65">
        <f t="shared" si="12"/>
        <v>111840</v>
      </c>
      <c r="Q50" s="132">
        <f t="shared" si="13"/>
        <v>5.8922925608011434E-2</v>
      </c>
      <c r="R50" s="66" t="s">
        <v>35</v>
      </c>
      <c r="S50" s="67">
        <v>3.5000000000000003E-2</v>
      </c>
      <c r="T50" s="68">
        <f t="shared" si="23"/>
        <v>10412.500000000002</v>
      </c>
      <c r="U50" s="69"/>
      <c r="V50" s="69">
        <v>25200</v>
      </c>
      <c r="W50" s="63"/>
      <c r="X50" s="68">
        <f t="shared" si="24"/>
        <v>25200</v>
      </c>
      <c r="Y50" s="70">
        <f t="shared" si="5"/>
        <v>5.9294117647058824E-2</v>
      </c>
      <c r="Z50" s="67">
        <v>0.32529999999999998</v>
      </c>
      <c r="AA50" s="68">
        <f t="shared" si="25"/>
        <v>8197.56</v>
      </c>
      <c r="AB50" s="69"/>
      <c r="AC50" s="71"/>
      <c r="AD50" s="72">
        <f t="shared" si="7"/>
        <v>0.7</v>
      </c>
      <c r="AE50" s="72">
        <f t="shared" si="8"/>
        <v>2.4201680672268902</v>
      </c>
      <c r="AF50" s="76">
        <f t="shared" si="26"/>
        <v>6589.9399999999987</v>
      </c>
      <c r="AG50" s="3"/>
      <c r="AH50" s="3"/>
      <c r="AI50" s="3"/>
      <c r="AJ50" s="3"/>
      <c r="AK50" s="3"/>
      <c r="AL50" s="3"/>
    </row>
    <row r="51" spans="1:38" x14ac:dyDescent="0.3">
      <c r="A51" s="75" t="s">
        <v>22</v>
      </c>
      <c r="B51" s="60">
        <v>40011</v>
      </c>
      <c r="C51" s="61">
        <v>380000</v>
      </c>
      <c r="D51" s="60">
        <v>44621</v>
      </c>
      <c r="E51" s="62">
        <v>430000</v>
      </c>
      <c r="F51" s="63"/>
      <c r="G51" s="61">
        <f t="shared" si="19"/>
        <v>430000</v>
      </c>
      <c r="H51" s="63">
        <v>0.01</v>
      </c>
      <c r="I51" s="61">
        <f t="shared" si="10"/>
        <v>4300</v>
      </c>
      <c r="J51" s="61">
        <f t="shared" si="11"/>
        <v>45700</v>
      </c>
      <c r="K51" s="63">
        <v>0.28000000000000003</v>
      </c>
      <c r="L51" s="64">
        <f t="shared" si="20"/>
        <v>12796.000000000002</v>
      </c>
      <c r="M51" s="63">
        <v>0.7</v>
      </c>
      <c r="N51" s="61">
        <f t="shared" si="21"/>
        <v>301000</v>
      </c>
      <c r="O51" s="61">
        <f t="shared" si="22"/>
        <v>129000</v>
      </c>
      <c r="P51" s="65">
        <f t="shared" si="12"/>
        <v>111904</v>
      </c>
      <c r="Q51" s="132">
        <f t="shared" si="13"/>
        <v>7.5452888189877013E-2</v>
      </c>
      <c r="R51" s="66" t="s">
        <v>35</v>
      </c>
      <c r="S51" s="67">
        <v>3.5000000000000003E-2</v>
      </c>
      <c r="T51" s="68">
        <f t="shared" si="23"/>
        <v>10535.000000000002</v>
      </c>
      <c r="U51" s="69"/>
      <c r="V51" s="69">
        <v>25800</v>
      </c>
      <c r="W51" s="63"/>
      <c r="X51" s="68">
        <f t="shared" si="24"/>
        <v>25800</v>
      </c>
      <c r="Y51" s="70">
        <f t="shared" si="5"/>
        <v>0.06</v>
      </c>
      <c r="Z51" s="67">
        <v>0.26440000000000002</v>
      </c>
      <c r="AA51" s="68">
        <f t="shared" si="25"/>
        <v>6821.52</v>
      </c>
      <c r="AB51" s="69"/>
      <c r="AC51" s="71"/>
      <c r="AD51" s="72">
        <f t="shared" si="7"/>
        <v>0.7</v>
      </c>
      <c r="AE51" s="72">
        <f t="shared" si="8"/>
        <v>2.4489795918367343</v>
      </c>
      <c r="AF51" s="76">
        <f t="shared" si="26"/>
        <v>8443.4799999999977</v>
      </c>
      <c r="AG51" s="3"/>
      <c r="AH51" s="3"/>
      <c r="AI51" s="3"/>
      <c r="AJ51" s="4"/>
      <c r="AK51" s="3"/>
      <c r="AL51" s="3"/>
    </row>
    <row r="52" spans="1:38" x14ac:dyDescent="0.3">
      <c r="A52" s="75" t="s">
        <v>23</v>
      </c>
      <c r="B52" s="60">
        <v>40011</v>
      </c>
      <c r="C52" s="61">
        <v>380000</v>
      </c>
      <c r="D52" s="60">
        <v>44621</v>
      </c>
      <c r="E52" s="62">
        <v>435000</v>
      </c>
      <c r="F52" s="63"/>
      <c r="G52" s="61">
        <f t="shared" si="19"/>
        <v>435000</v>
      </c>
      <c r="H52" s="63">
        <v>0.01</v>
      </c>
      <c r="I52" s="61">
        <f t="shared" si="10"/>
        <v>4350</v>
      </c>
      <c r="J52" s="61">
        <f t="shared" si="11"/>
        <v>50650</v>
      </c>
      <c r="K52" s="63">
        <v>0.28000000000000003</v>
      </c>
      <c r="L52" s="64">
        <f t="shared" si="20"/>
        <v>14182.000000000002</v>
      </c>
      <c r="M52" s="63">
        <v>0.7</v>
      </c>
      <c r="N52" s="61">
        <f t="shared" si="21"/>
        <v>304500</v>
      </c>
      <c r="O52" s="61">
        <f t="shared" si="22"/>
        <v>130500</v>
      </c>
      <c r="P52" s="65">
        <f t="shared" si="12"/>
        <v>111968</v>
      </c>
      <c r="Q52" s="132">
        <f t="shared" si="13"/>
        <v>7.6990747356387529E-2</v>
      </c>
      <c r="R52" s="66" t="s">
        <v>35</v>
      </c>
      <c r="S52" s="67">
        <v>3.5000000000000003E-2</v>
      </c>
      <c r="T52" s="68">
        <f t="shared" si="23"/>
        <v>10657.500000000002</v>
      </c>
      <c r="U52" s="69"/>
      <c r="V52" s="69">
        <v>25200</v>
      </c>
      <c r="W52" s="63"/>
      <c r="X52" s="68">
        <f t="shared" si="24"/>
        <v>25200</v>
      </c>
      <c r="Y52" s="70">
        <f t="shared" si="5"/>
        <v>5.7931034482758624E-2</v>
      </c>
      <c r="Z52" s="67">
        <v>0.23499999999999999</v>
      </c>
      <c r="AA52" s="68">
        <f t="shared" si="25"/>
        <v>5922</v>
      </c>
      <c r="AB52" s="69"/>
      <c r="AC52" s="71"/>
      <c r="AD52" s="72">
        <f t="shared" si="7"/>
        <v>0.7</v>
      </c>
      <c r="AE52" s="72">
        <f t="shared" si="8"/>
        <v>2.3645320197044333</v>
      </c>
      <c r="AF52" s="76">
        <f t="shared" si="26"/>
        <v>8620.4999999999982</v>
      </c>
      <c r="AG52" s="3"/>
      <c r="AH52" s="3"/>
      <c r="AI52" s="3"/>
      <c r="AJ52" s="3"/>
      <c r="AK52" s="3"/>
      <c r="AL52" s="3"/>
    </row>
    <row r="53" spans="1:38" ht="16.2" thickBot="1" x14ac:dyDescent="0.35">
      <c r="A53" s="93" t="s">
        <v>53</v>
      </c>
      <c r="B53" s="94">
        <v>40011</v>
      </c>
      <c r="C53" s="95">
        <v>120000</v>
      </c>
      <c r="D53" s="94">
        <v>44621</v>
      </c>
      <c r="E53" s="96">
        <v>90000</v>
      </c>
      <c r="F53" s="97"/>
      <c r="G53" s="95">
        <f t="shared" si="19"/>
        <v>90000</v>
      </c>
      <c r="H53" s="97">
        <v>0.01</v>
      </c>
      <c r="I53" s="95">
        <f t="shared" si="10"/>
        <v>900</v>
      </c>
      <c r="J53" s="95">
        <f t="shared" si="11"/>
        <v>-30900</v>
      </c>
      <c r="K53" s="97">
        <v>0.28000000000000003</v>
      </c>
      <c r="L53" s="98">
        <f t="shared" si="20"/>
        <v>-8652</v>
      </c>
      <c r="M53" s="97">
        <v>0.7</v>
      </c>
      <c r="N53" s="95">
        <f t="shared" si="21"/>
        <v>62999.999999999993</v>
      </c>
      <c r="O53" s="95">
        <f t="shared" si="22"/>
        <v>27000.000000000007</v>
      </c>
      <c r="P53" s="99">
        <f t="shared" si="12"/>
        <v>34752.000000000007</v>
      </c>
      <c r="Q53" s="132">
        <f t="shared" si="13"/>
        <v>0.21295580110497231</v>
      </c>
      <c r="R53" s="100" t="s">
        <v>35</v>
      </c>
      <c r="S53" s="101">
        <v>3.5000000000000003E-2</v>
      </c>
      <c r="T53" s="102">
        <f t="shared" si="23"/>
        <v>2205</v>
      </c>
      <c r="U53" s="103"/>
      <c r="V53" s="103">
        <v>12540</v>
      </c>
      <c r="W53" s="97"/>
      <c r="X53" s="102">
        <f t="shared" si="24"/>
        <v>12540</v>
      </c>
      <c r="Y53" s="104">
        <f t="shared" si="5"/>
        <v>0.13933333333333334</v>
      </c>
      <c r="Z53" s="101">
        <v>0.23400000000000001</v>
      </c>
      <c r="AA53" s="102">
        <f t="shared" si="25"/>
        <v>2934.36</v>
      </c>
      <c r="AB53" s="103"/>
      <c r="AC53" s="105"/>
      <c r="AD53" s="106">
        <f t="shared" si="7"/>
        <v>0.7</v>
      </c>
      <c r="AE53" s="106">
        <f t="shared" si="8"/>
        <v>5.6870748299319729</v>
      </c>
      <c r="AF53" s="107">
        <f t="shared" si="26"/>
        <v>7400.6399999999994</v>
      </c>
      <c r="AG53" s="3"/>
      <c r="AH53" s="3"/>
      <c r="AI53" s="3"/>
      <c r="AJ53" s="3"/>
      <c r="AK53" s="3"/>
      <c r="AL53" s="3"/>
    </row>
    <row r="54" spans="1:38" ht="16.2" thickBot="1" x14ac:dyDescent="0.35">
      <c r="A54" s="109" t="s">
        <v>48</v>
      </c>
      <c r="B54" s="118"/>
      <c r="C54" s="119">
        <f t="shared" ref="C54:E54" si="27">SUM(C37:C53)</f>
        <v>5698922</v>
      </c>
      <c r="D54" s="119"/>
      <c r="E54" s="111">
        <f t="shared" si="27"/>
        <v>8905000</v>
      </c>
      <c r="F54" s="112">
        <f>(G54-E54)/E54</f>
        <v>0</v>
      </c>
      <c r="G54" s="111">
        <f t="shared" ref="G54:J54" si="28">SUM(G37:G53)</f>
        <v>8905000</v>
      </c>
      <c r="H54" s="113">
        <f>I54/G54</f>
        <v>0.01</v>
      </c>
      <c r="I54" s="111">
        <f>SUM(I37:I53)</f>
        <v>89050</v>
      </c>
      <c r="J54" s="111">
        <f t="shared" si="28"/>
        <v>3117028</v>
      </c>
      <c r="K54" s="113">
        <f>L54/J54</f>
        <v>0.27999999999999997</v>
      </c>
      <c r="L54" s="119">
        <f>SUM(L37:L53)</f>
        <v>872767.84</v>
      </c>
      <c r="M54" s="114">
        <f>N54/E54</f>
        <v>0.7</v>
      </c>
      <c r="N54" s="111">
        <f t="shared" ref="N54:P54" si="29">SUM(N37:N53)</f>
        <v>6233500</v>
      </c>
      <c r="O54" s="111">
        <f t="shared" si="29"/>
        <v>2671500</v>
      </c>
      <c r="P54" s="111">
        <f t="shared" si="29"/>
        <v>1709682.16</v>
      </c>
      <c r="Q54" s="133">
        <f t="shared" si="13"/>
        <v>0.15144790655123877</v>
      </c>
      <c r="R54" s="111"/>
      <c r="S54" s="112">
        <f>T54/N54</f>
        <v>3.5000000000000003E-2</v>
      </c>
      <c r="T54" s="115">
        <f t="shared" ref="T54:V54" si="30">SUM(T37:T53)</f>
        <v>218172.5</v>
      </c>
      <c r="U54" s="115">
        <f t="shared" si="30"/>
        <v>0</v>
      </c>
      <c r="V54" s="115">
        <f t="shared" si="30"/>
        <v>608799</v>
      </c>
      <c r="W54" s="112">
        <f>IF(V54=0, "", (X54-V54)/V54)</f>
        <v>0</v>
      </c>
      <c r="X54" s="115">
        <f>SUM(X37:X53)</f>
        <v>608799</v>
      </c>
      <c r="Y54" s="112">
        <f t="shared" si="5"/>
        <v>6.8365974171813587E-2</v>
      </c>
      <c r="Z54" s="112">
        <f>IF(X54=0, "", AA54/X54)</f>
        <v>0.21632544731512368</v>
      </c>
      <c r="AA54" s="115">
        <f>SUM(AA37:AA53)</f>
        <v>131698.71599999999</v>
      </c>
      <c r="AB54" s="115">
        <f>SUM(AB37:AB53)</f>
        <v>0</v>
      </c>
      <c r="AC54" s="115">
        <f>SUM(AC37:AC53)</f>
        <v>0</v>
      </c>
      <c r="AD54" s="114">
        <f t="shared" si="7"/>
        <v>0.7</v>
      </c>
      <c r="AE54" s="114">
        <f t="shared" si="8"/>
        <v>2.7904479253801466</v>
      </c>
      <c r="AF54" s="116">
        <f>SUM(AF37:AF53)</f>
        <v>258927.78400000004</v>
      </c>
      <c r="AG54" s="3"/>
      <c r="AH54" s="3"/>
      <c r="AI54" s="3"/>
      <c r="AJ54" s="3"/>
      <c r="AK54" s="3"/>
      <c r="AL54" s="3"/>
    </row>
    <row r="55" spans="1:38" x14ac:dyDescent="0.3">
      <c r="A55" s="78" t="s">
        <v>1</v>
      </c>
      <c r="B55" s="79">
        <v>45225</v>
      </c>
      <c r="C55" s="80">
        <v>494415</v>
      </c>
      <c r="D55" s="79">
        <v>44621</v>
      </c>
      <c r="E55" s="81">
        <v>550000</v>
      </c>
      <c r="F55" s="82"/>
      <c r="G55" s="80">
        <v>575000</v>
      </c>
      <c r="H55" s="82">
        <v>0.01</v>
      </c>
      <c r="I55" s="80">
        <f t="shared" si="10"/>
        <v>5750</v>
      </c>
      <c r="J55" s="80">
        <f t="shared" si="11"/>
        <v>74835</v>
      </c>
      <c r="K55" s="82">
        <v>0.28000000000000003</v>
      </c>
      <c r="L55" s="83">
        <f t="shared" ref="L55:L65" si="31">K55*J55</f>
        <v>20953.800000000003</v>
      </c>
      <c r="M55" s="82"/>
      <c r="N55" s="80">
        <f t="shared" ref="N55:N65" si="32">M55*E55</f>
        <v>0</v>
      </c>
      <c r="O55" s="80">
        <f t="shared" ref="O55:O65" si="33">G55-N55</f>
        <v>575000</v>
      </c>
      <c r="P55" s="84">
        <f t="shared" si="12"/>
        <v>548296.19999999995</v>
      </c>
      <c r="Q55" s="132">
        <f t="shared" si="13"/>
        <v>4.7260586522394295E-2</v>
      </c>
      <c r="R55" s="117"/>
      <c r="S55" s="86"/>
      <c r="T55" s="87">
        <f t="shared" ref="T55:T65" si="34">S55*N55</f>
        <v>0</v>
      </c>
      <c r="U55" s="88"/>
      <c r="V55" s="88">
        <v>36600</v>
      </c>
      <c r="W55" s="82"/>
      <c r="X55" s="87">
        <f t="shared" ref="X55:X65" si="35">V55*W55+V55</f>
        <v>36600</v>
      </c>
      <c r="Y55" s="89">
        <f t="shared" si="5"/>
        <v>6.365217391304348E-2</v>
      </c>
      <c r="Z55" s="86">
        <v>0.29199999999999998</v>
      </c>
      <c r="AA55" s="87">
        <f t="shared" ref="AA55:AA65" si="36">Z55*X55</f>
        <v>10687.199999999999</v>
      </c>
      <c r="AB55" s="88"/>
      <c r="AC55" s="90"/>
      <c r="AD55" s="91">
        <f t="shared" si="7"/>
        <v>0</v>
      </c>
      <c r="AE55" s="91" t="str">
        <f t="shared" si="8"/>
        <v/>
      </c>
      <c r="AF55" s="92">
        <f t="shared" ref="AF55:AF65" si="37" xml:space="preserve"> X55 - T55 - U55 - AA55 - AB55</f>
        <v>25912.800000000003</v>
      </c>
      <c r="AG55" s="3"/>
      <c r="AH55" s="3"/>
      <c r="AI55" s="3"/>
      <c r="AJ55" s="3"/>
      <c r="AK55" s="3"/>
      <c r="AL55" s="3"/>
    </row>
    <row r="56" spans="1:38" x14ac:dyDescent="0.3">
      <c r="A56" s="75" t="s">
        <v>2</v>
      </c>
      <c r="B56" s="60">
        <v>43479</v>
      </c>
      <c r="C56" s="61">
        <v>537223</v>
      </c>
      <c r="D56" s="60">
        <v>44621</v>
      </c>
      <c r="E56" s="62">
        <v>550000</v>
      </c>
      <c r="F56" s="63"/>
      <c r="G56" s="61">
        <v>590000</v>
      </c>
      <c r="H56" s="63">
        <v>0.01</v>
      </c>
      <c r="I56" s="61">
        <f t="shared" si="10"/>
        <v>5900</v>
      </c>
      <c r="J56" s="61">
        <f t="shared" si="11"/>
        <v>46877</v>
      </c>
      <c r="K56" s="63">
        <v>0.28000000000000003</v>
      </c>
      <c r="L56" s="64">
        <f t="shared" si="31"/>
        <v>13125.560000000001</v>
      </c>
      <c r="M56" s="63"/>
      <c r="N56" s="61">
        <f t="shared" si="32"/>
        <v>0</v>
      </c>
      <c r="O56" s="61">
        <f t="shared" si="33"/>
        <v>590000</v>
      </c>
      <c r="P56" s="65">
        <f t="shared" si="12"/>
        <v>570974.43999999994</v>
      </c>
      <c r="Q56" s="132">
        <f t="shared" si="13"/>
        <v>5.1459396326042198E-2</v>
      </c>
      <c r="R56" s="59"/>
      <c r="S56" s="67"/>
      <c r="T56" s="68">
        <f t="shared" si="34"/>
        <v>0</v>
      </c>
      <c r="U56" s="69"/>
      <c r="V56" s="69">
        <v>35400</v>
      </c>
      <c r="W56" s="63"/>
      <c r="X56" s="68">
        <f t="shared" si="35"/>
        <v>35400</v>
      </c>
      <c r="Y56" s="70">
        <f t="shared" si="5"/>
        <v>0.06</v>
      </c>
      <c r="Z56" s="67">
        <v>0.17</v>
      </c>
      <c r="AA56" s="68">
        <f t="shared" si="36"/>
        <v>6018</v>
      </c>
      <c r="AB56" s="69"/>
      <c r="AC56" s="71"/>
      <c r="AD56" s="72">
        <f t="shared" si="7"/>
        <v>0</v>
      </c>
      <c r="AE56" s="72" t="str">
        <f t="shared" si="8"/>
        <v/>
      </c>
      <c r="AF56" s="76">
        <f t="shared" si="37"/>
        <v>29382</v>
      </c>
      <c r="AG56" s="3"/>
      <c r="AH56" s="3"/>
      <c r="AI56" s="3"/>
      <c r="AJ56" s="3"/>
      <c r="AK56" s="3"/>
      <c r="AL56" s="3"/>
    </row>
    <row r="57" spans="1:38" x14ac:dyDescent="0.3">
      <c r="A57" s="75" t="s">
        <v>3</v>
      </c>
      <c r="B57" s="60">
        <v>43907</v>
      </c>
      <c r="C57" s="61">
        <v>537223</v>
      </c>
      <c r="D57" s="60">
        <v>44621</v>
      </c>
      <c r="E57" s="62">
        <v>550000</v>
      </c>
      <c r="F57" s="63"/>
      <c r="G57" s="61">
        <v>600000</v>
      </c>
      <c r="H57" s="63">
        <v>0.01</v>
      </c>
      <c r="I57" s="61">
        <f t="shared" si="10"/>
        <v>6000</v>
      </c>
      <c r="J57" s="61">
        <f t="shared" si="11"/>
        <v>56777</v>
      </c>
      <c r="K57" s="63">
        <v>0.28000000000000003</v>
      </c>
      <c r="L57" s="64">
        <f t="shared" si="31"/>
        <v>15897.560000000001</v>
      </c>
      <c r="M57" s="63"/>
      <c r="N57" s="61">
        <f t="shared" si="32"/>
        <v>0</v>
      </c>
      <c r="O57" s="61">
        <f t="shared" si="33"/>
        <v>600000</v>
      </c>
      <c r="P57" s="65">
        <f t="shared" si="12"/>
        <v>578102.43999999994</v>
      </c>
      <c r="Q57" s="132">
        <f t="shared" si="13"/>
        <v>3.6616347787772702E-2</v>
      </c>
      <c r="R57" s="59"/>
      <c r="S57" s="67"/>
      <c r="T57" s="68">
        <f t="shared" si="34"/>
        <v>0</v>
      </c>
      <c r="U57" s="69"/>
      <c r="V57" s="69">
        <v>36000</v>
      </c>
      <c r="W57" s="63"/>
      <c r="X57" s="68">
        <f t="shared" si="35"/>
        <v>36000</v>
      </c>
      <c r="Y57" s="70">
        <f t="shared" si="5"/>
        <v>0.06</v>
      </c>
      <c r="Z57" s="67">
        <v>0.41199999999999998</v>
      </c>
      <c r="AA57" s="68">
        <f t="shared" si="36"/>
        <v>14832</v>
      </c>
      <c r="AB57" s="69"/>
      <c r="AC57" s="71"/>
      <c r="AD57" s="72">
        <f t="shared" si="7"/>
        <v>0</v>
      </c>
      <c r="AE57" s="72" t="str">
        <f t="shared" si="8"/>
        <v/>
      </c>
      <c r="AF57" s="76">
        <f t="shared" si="37"/>
        <v>21168</v>
      </c>
      <c r="AG57" s="3"/>
      <c r="AH57" s="3"/>
      <c r="AI57" s="3"/>
      <c r="AJ57" s="3"/>
      <c r="AK57" s="3"/>
      <c r="AL57" s="3"/>
    </row>
    <row r="58" spans="1:38" x14ac:dyDescent="0.3">
      <c r="A58" s="75" t="s">
        <v>4</v>
      </c>
      <c r="B58" s="60">
        <v>43551</v>
      </c>
      <c r="C58" s="61">
        <v>565285</v>
      </c>
      <c r="D58" s="60">
        <v>44621</v>
      </c>
      <c r="E58" s="62">
        <v>550000</v>
      </c>
      <c r="F58" s="63"/>
      <c r="G58" s="61">
        <f>F58*E58+E58</f>
        <v>550000</v>
      </c>
      <c r="H58" s="63">
        <v>0.01</v>
      </c>
      <c r="I58" s="61">
        <f t="shared" si="10"/>
        <v>5500</v>
      </c>
      <c r="J58" s="61">
        <f t="shared" si="11"/>
        <v>-20785</v>
      </c>
      <c r="K58" s="63">
        <v>0.28000000000000003</v>
      </c>
      <c r="L58" s="64">
        <f t="shared" si="31"/>
        <v>-5819.8</v>
      </c>
      <c r="M58" s="63"/>
      <c r="N58" s="61">
        <f t="shared" si="32"/>
        <v>0</v>
      </c>
      <c r="O58" s="61">
        <f t="shared" si="33"/>
        <v>550000</v>
      </c>
      <c r="P58" s="65">
        <f t="shared" si="12"/>
        <v>550319.80000000005</v>
      </c>
      <c r="Q58" s="132">
        <f t="shared" si="13"/>
        <v>5.035850063908294E-2</v>
      </c>
      <c r="R58" s="59"/>
      <c r="S58" s="67"/>
      <c r="T58" s="68">
        <f t="shared" si="34"/>
        <v>0</v>
      </c>
      <c r="U58" s="69"/>
      <c r="V58" s="69">
        <v>33600</v>
      </c>
      <c r="W58" s="63"/>
      <c r="X58" s="68">
        <f t="shared" si="35"/>
        <v>33600</v>
      </c>
      <c r="Y58" s="70">
        <f t="shared" si="5"/>
        <v>6.1090909090909092E-2</v>
      </c>
      <c r="Z58" s="67">
        <v>0.17519999999999999</v>
      </c>
      <c r="AA58" s="68">
        <f t="shared" si="36"/>
        <v>5886.72</v>
      </c>
      <c r="AB58" s="69"/>
      <c r="AC58" s="71"/>
      <c r="AD58" s="72">
        <f t="shared" si="7"/>
        <v>0</v>
      </c>
      <c r="AE58" s="72" t="str">
        <f t="shared" si="8"/>
        <v/>
      </c>
      <c r="AF58" s="76">
        <f t="shared" si="37"/>
        <v>27713.279999999999</v>
      </c>
      <c r="AG58" s="3"/>
      <c r="AH58" s="3"/>
      <c r="AI58" s="3"/>
      <c r="AJ58" s="3"/>
      <c r="AK58" s="3"/>
      <c r="AL58" s="3"/>
    </row>
    <row r="59" spans="1:38" x14ac:dyDescent="0.3">
      <c r="A59" s="77" t="s">
        <v>5</v>
      </c>
      <c r="B59" s="60">
        <v>43553</v>
      </c>
      <c r="C59" s="61">
        <v>534537</v>
      </c>
      <c r="D59" s="60">
        <v>44621</v>
      </c>
      <c r="E59" s="62">
        <v>550000</v>
      </c>
      <c r="F59" s="63"/>
      <c r="G59" s="61">
        <v>580000</v>
      </c>
      <c r="H59" s="63">
        <v>0.01</v>
      </c>
      <c r="I59" s="61">
        <v>445</v>
      </c>
      <c r="J59" s="61">
        <f t="shared" si="11"/>
        <v>45018</v>
      </c>
      <c r="K59" s="63">
        <v>0.28000000000000003</v>
      </c>
      <c r="L59" s="64">
        <f t="shared" si="31"/>
        <v>12605.04</v>
      </c>
      <c r="M59" s="63"/>
      <c r="N59" s="61">
        <f t="shared" si="32"/>
        <v>0</v>
      </c>
      <c r="O59" s="61">
        <f t="shared" si="33"/>
        <v>580000</v>
      </c>
      <c r="P59" s="65">
        <f t="shared" si="12"/>
        <v>566949.96</v>
      </c>
      <c r="Q59" s="132">
        <f t="shared" si="13"/>
        <v>5.1682868096507142E-2</v>
      </c>
      <c r="R59" s="59"/>
      <c r="S59" s="67"/>
      <c r="T59" s="68">
        <f t="shared" si="34"/>
        <v>0</v>
      </c>
      <c r="U59" s="69"/>
      <c r="V59" s="69">
        <v>34800</v>
      </c>
      <c r="W59" s="63"/>
      <c r="X59" s="68">
        <f t="shared" si="35"/>
        <v>34800</v>
      </c>
      <c r="Y59" s="70">
        <f t="shared" si="5"/>
        <v>0.06</v>
      </c>
      <c r="Z59" s="67">
        <v>0.158</v>
      </c>
      <c r="AA59" s="68">
        <f t="shared" si="36"/>
        <v>5498.4</v>
      </c>
      <c r="AB59" s="69"/>
      <c r="AC59" s="71"/>
      <c r="AD59" s="72">
        <f t="shared" si="7"/>
        <v>0</v>
      </c>
      <c r="AE59" s="72" t="str">
        <f t="shared" si="8"/>
        <v/>
      </c>
      <c r="AF59" s="76">
        <f t="shared" si="37"/>
        <v>29301.599999999999</v>
      </c>
      <c r="AG59" s="3"/>
      <c r="AH59" s="3"/>
      <c r="AI59" s="3"/>
      <c r="AJ59" s="3"/>
      <c r="AK59" s="3"/>
      <c r="AL59" s="3"/>
    </row>
    <row r="60" spans="1:38" x14ac:dyDescent="0.3">
      <c r="A60" s="75" t="s">
        <v>6</v>
      </c>
      <c r="B60" s="60">
        <v>43584</v>
      </c>
      <c r="C60" s="61">
        <v>457120</v>
      </c>
      <c r="D60" s="60">
        <v>44621</v>
      </c>
      <c r="E60" s="62">
        <v>501000</v>
      </c>
      <c r="F60" s="63"/>
      <c r="G60" s="61">
        <v>500000</v>
      </c>
      <c r="H60" s="63">
        <v>0.01</v>
      </c>
      <c r="I60" s="61">
        <f t="shared" si="10"/>
        <v>5000</v>
      </c>
      <c r="J60" s="61">
        <f t="shared" si="11"/>
        <v>37880</v>
      </c>
      <c r="K60" s="63">
        <v>0.28000000000000003</v>
      </c>
      <c r="L60" s="64">
        <f t="shared" si="31"/>
        <v>10606.400000000001</v>
      </c>
      <c r="M60" s="63"/>
      <c r="N60" s="61">
        <f t="shared" si="32"/>
        <v>0</v>
      </c>
      <c r="O60" s="61">
        <f t="shared" si="33"/>
        <v>500000</v>
      </c>
      <c r="P60" s="65">
        <f t="shared" si="12"/>
        <v>484393.6</v>
      </c>
      <c r="Q60" s="132">
        <f t="shared" si="13"/>
        <v>5.7449148791396093E-2</v>
      </c>
      <c r="R60" s="59"/>
      <c r="S60" s="67"/>
      <c r="T60" s="68">
        <f t="shared" si="34"/>
        <v>0</v>
      </c>
      <c r="U60" s="69"/>
      <c r="V60" s="69">
        <v>36000</v>
      </c>
      <c r="W60" s="63"/>
      <c r="X60" s="68">
        <f t="shared" si="35"/>
        <v>36000</v>
      </c>
      <c r="Y60" s="70">
        <f t="shared" si="5"/>
        <v>7.1999999999999995E-2</v>
      </c>
      <c r="Z60" s="67">
        <v>0.22700000000000001</v>
      </c>
      <c r="AA60" s="68">
        <f t="shared" si="36"/>
        <v>8172</v>
      </c>
      <c r="AB60" s="69"/>
      <c r="AC60" s="71"/>
      <c r="AD60" s="72">
        <f t="shared" si="7"/>
        <v>0</v>
      </c>
      <c r="AE60" s="72" t="str">
        <f t="shared" si="8"/>
        <v/>
      </c>
      <c r="AF60" s="76">
        <f t="shared" si="37"/>
        <v>27828</v>
      </c>
      <c r="AG60" s="3"/>
      <c r="AH60" s="3"/>
      <c r="AI60" s="3"/>
      <c r="AJ60" s="3"/>
      <c r="AK60" s="3"/>
      <c r="AL60" s="3"/>
    </row>
    <row r="61" spans="1:38" x14ac:dyDescent="0.3">
      <c r="A61" s="75" t="s">
        <v>54</v>
      </c>
      <c r="B61" s="60">
        <v>41145</v>
      </c>
      <c r="C61" s="61">
        <v>257000</v>
      </c>
      <c r="D61" s="60">
        <v>44621</v>
      </c>
      <c r="E61" s="62">
        <v>485000</v>
      </c>
      <c r="F61" s="63"/>
      <c r="G61" s="61">
        <v>500000</v>
      </c>
      <c r="H61" s="63">
        <v>0.01</v>
      </c>
      <c r="I61" s="61">
        <f t="shared" si="10"/>
        <v>5000</v>
      </c>
      <c r="J61" s="61">
        <f t="shared" si="11"/>
        <v>238000</v>
      </c>
      <c r="K61" s="63">
        <v>0.28000000000000003</v>
      </c>
      <c r="L61" s="64">
        <f t="shared" si="31"/>
        <v>66640</v>
      </c>
      <c r="M61" s="63">
        <v>0.78</v>
      </c>
      <c r="N61" s="61">
        <f t="shared" si="32"/>
        <v>378300</v>
      </c>
      <c r="O61" s="61">
        <f t="shared" si="33"/>
        <v>121700</v>
      </c>
      <c r="P61" s="65">
        <f t="shared" si="12"/>
        <v>50060</v>
      </c>
      <c r="Q61" s="132">
        <f t="shared" si="13"/>
        <v>0.2217824610467439</v>
      </c>
      <c r="R61" s="73">
        <v>49496</v>
      </c>
      <c r="S61" s="67">
        <v>3.7900000000000003E-2</v>
      </c>
      <c r="T61" s="68">
        <f t="shared" si="34"/>
        <v>14337.570000000002</v>
      </c>
      <c r="U61" s="69"/>
      <c r="V61" s="69">
        <v>31800</v>
      </c>
      <c r="W61" s="63"/>
      <c r="X61" s="68">
        <f t="shared" si="35"/>
        <v>31800</v>
      </c>
      <c r="Y61" s="70">
        <f t="shared" si="5"/>
        <v>6.3600000000000004E-2</v>
      </c>
      <c r="Z61" s="67">
        <v>0.2</v>
      </c>
      <c r="AA61" s="68">
        <f t="shared" si="36"/>
        <v>6360</v>
      </c>
      <c r="AB61" s="69"/>
      <c r="AC61" s="71"/>
      <c r="AD61" s="72">
        <f t="shared" si="7"/>
        <v>0.75660000000000005</v>
      </c>
      <c r="AE61" s="72">
        <f t="shared" si="8"/>
        <v>2.2179490666828476</v>
      </c>
      <c r="AF61" s="76">
        <f t="shared" si="37"/>
        <v>11102.43</v>
      </c>
      <c r="AG61" s="3"/>
      <c r="AH61" s="3"/>
      <c r="AI61" s="3"/>
      <c r="AJ61" s="3"/>
      <c r="AK61" s="3"/>
      <c r="AL61" s="3"/>
    </row>
    <row r="62" spans="1:38" x14ac:dyDescent="0.3">
      <c r="A62" s="75" t="s">
        <v>7</v>
      </c>
      <c r="B62" s="60">
        <v>43490</v>
      </c>
      <c r="C62" s="61">
        <v>399826</v>
      </c>
      <c r="D62" s="60">
        <v>44621</v>
      </c>
      <c r="E62" s="62">
        <v>450000</v>
      </c>
      <c r="F62" s="63"/>
      <c r="G62" s="61">
        <v>500000</v>
      </c>
      <c r="H62" s="63">
        <v>0.01</v>
      </c>
      <c r="I62" s="61">
        <f t="shared" si="10"/>
        <v>5000</v>
      </c>
      <c r="J62" s="61">
        <f t="shared" si="11"/>
        <v>95174</v>
      </c>
      <c r="K62" s="63">
        <v>0.28000000000000003</v>
      </c>
      <c r="L62" s="64">
        <f t="shared" si="31"/>
        <v>26648.720000000001</v>
      </c>
      <c r="M62" s="63"/>
      <c r="N62" s="61">
        <f t="shared" si="32"/>
        <v>0</v>
      </c>
      <c r="O62" s="61">
        <f t="shared" si="33"/>
        <v>500000</v>
      </c>
      <c r="P62" s="65">
        <f t="shared" si="12"/>
        <v>468351.28</v>
      </c>
      <c r="Q62" s="132">
        <f t="shared" si="13"/>
        <v>5.0154661688978405E-2</v>
      </c>
      <c r="R62" s="59"/>
      <c r="S62" s="67"/>
      <c r="T62" s="68">
        <f t="shared" si="34"/>
        <v>0</v>
      </c>
      <c r="U62" s="69"/>
      <c r="V62" s="69">
        <v>30000</v>
      </c>
      <c r="W62" s="63"/>
      <c r="X62" s="68">
        <f t="shared" si="35"/>
        <v>30000</v>
      </c>
      <c r="Y62" s="70">
        <f t="shared" si="5"/>
        <v>0.06</v>
      </c>
      <c r="Z62" s="67">
        <v>0.217</v>
      </c>
      <c r="AA62" s="68">
        <f t="shared" si="36"/>
        <v>6510</v>
      </c>
      <c r="AB62" s="69"/>
      <c r="AC62" s="71"/>
      <c r="AD62" s="72">
        <f t="shared" si="7"/>
        <v>0</v>
      </c>
      <c r="AE62" s="72" t="str">
        <f t="shared" si="8"/>
        <v/>
      </c>
      <c r="AF62" s="76">
        <f t="shared" si="37"/>
        <v>23490</v>
      </c>
      <c r="AG62" s="3"/>
      <c r="AH62" s="3"/>
      <c r="AI62" s="3"/>
      <c r="AJ62" s="3"/>
      <c r="AK62" s="3"/>
      <c r="AL62" s="3"/>
    </row>
    <row r="63" spans="1:38" x14ac:dyDescent="0.3">
      <c r="A63" s="77" t="s">
        <v>55</v>
      </c>
      <c r="B63" s="74">
        <v>45511</v>
      </c>
      <c r="C63" s="61">
        <v>1810160</v>
      </c>
      <c r="D63" s="60">
        <v>44621</v>
      </c>
      <c r="E63" s="62">
        <v>2250000</v>
      </c>
      <c r="F63" s="63"/>
      <c r="G63" s="61">
        <v>2000000</v>
      </c>
      <c r="H63" s="63">
        <v>0.01</v>
      </c>
      <c r="I63" s="61">
        <f t="shared" si="10"/>
        <v>20000</v>
      </c>
      <c r="J63" s="61">
        <f t="shared" si="11"/>
        <v>169840</v>
      </c>
      <c r="K63" s="63">
        <v>0.28000000000000003</v>
      </c>
      <c r="L63" s="64">
        <f t="shared" si="31"/>
        <v>47555.200000000004</v>
      </c>
      <c r="M63" s="63"/>
      <c r="N63" s="61">
        <f t="shared" si="32"/>
        <v>0</v>
      </c>
      <c r="O63" s="61">
        <f t="shared" si="33"/>
        <v>2000000</v>
      </c>
      <c r="P63" s="65">
        <f t="shared" si="12"/>
        <v>1932444.8</v>
      </c>
      <c r="Q63" s="132">
        <f t="shared" si="13"/>
        <v>4.3778740795079887E-2</v>
      </c>
      <c r="R63" s="59"/>
      <c r="S63" s="67"/>
      <c r="T63" s="68">
        <f t="shared" si="34"/>
        <v>0</v>
      </c>
      <c r="U63" s="69"/>
      <c r="V63" s="69">
        <v>84600</v>
      </c>
      <c r="W63" s="63"/>
      <c r="X63" s="68">
        <f t="shared" si="35"/>
        <v>84600</v>
      </c>
      <c r="Y63" s="70">
        <f t="shared" si="5"/>
        <v>4.2299999999999997E-2</v>
      </c>
      <c r="Z63" s="67"/>
      <c r="AA63" s="68">
        <f t="shared" si="36"/>
        <v>0</v>
      </c>
      <c r="AB63" s="69"/>
      <c r="AC63" s="71"/>
      <c r="AD63" s="72">
        <f t="shared" si="7"/>
        <v>0</v>
      </c>
      <c r="AE63" s="72" t="str">
        <f t="shared" si="8"/>
        <v/>
      </c>
      <c r="AF63" s="76">
        <f t="shared" si="37"/>
        <v>84600</v>
      </c>
      <c r="AG63" s="3" t="s">
        <v>56</v>
      </c>
      <c r="AH63" s="3"/>
      <c r="AI63" s="3"/>
      <c r="AJ63" s="3"/>
      <c r="AK63" s="3"/>
      <c r="AL63" s="3"/>
    </row>
    <row r="64" spans="1:38" x14ac:dyDescent="0.3">
      <c r="A64" s="75" t="s">
        <v>57</v>
      </c>
      <c r="B64" s="60">
        <v>45209</v>
      </c>
      <c r="C64" s="61">
        <v>1003297.09</v>
      </c>
      <c r="D64" s="60">
        <v>44621</v>
      </c>
      <c r="E64" s="62">
        <v>1500000</v>
      </c>
      <c r="F64" s="63"/>
      <c r="G64" s="61">
        <f t="shared" ref="G64:G65" si="38">F64*E64+E64</f>
        <v>1500000</v>
      </c>
      <c r="H64" s="63">
        <v>0.01</v>
      </c>
      <c r="I64" s="61">
        <f t="shared" si="10"/>
        <v>15000</v>
      </c>
      <c r="J64" s="61">
        <f t="shared" si="11"/>
        <v>481702.91000000003</v>
      </c>
      <c r="K64" s="63">
        <v>0.28000000000000003</v>
      </c>
      <c r="L64" s="64">
        <f t="shared" si="31"/>
        <v>134876.81480000002</v>
      </c>
      <c r="M64" s="63"/>
      <c r="N64" s="61">
        <f t="shared" si="32"/>
        <v>0</v>
      </c>
      <c r="O64" s="61">
        <f t="shared" si="33"/>
        <v>1500000</v>
      </c>
      <c r="P64" s="65">
        <f t="shared" si="12"/>
        <v>1350123.1851999999</v>
      </c>
      <c r="Q64" s="132">
        <f t="shared" si="13"/>
        <v>5.59175642841927E-2</v>
      </c>
      <c r="R64" s="59"/>
      <c r="S64" s="67"/>
      <c r="T64" s="68">
        <f t="shared" si="34"/>
        <v>0</v>
      </c>
      <c r="U64" s="69"/>
      <c r="V64" s="69">
        <v>80400</v>
      </c>
      <c r="W64" s="63"/>
      <c r="X64" s="68">
        <f t="shared" si="35"/>
        <v>80400</v>
      </c>
      <c r="Y64" s="70">
        <f t="shared" si="5"/>
        <v>5.3600000000000002E-2</v>
      </c>
      <c r="Z64" s="67">
        <v>6.0999999999999999E-2</v>
      </c>
      <c r="AA64" s="68">
        <f t="shared" si="36"/>
        <v>4904.3999999999996</v>
      </c>
      <c r="AB64" s="69"/>
      <c r="AC64" s="71"/>
      <c r="AD64" s="72">
        <f t="shared" si="7"/>
        <v>0</v>
      </c>
      <c r="AE64" s="72" t="str">
        <f t="shared" si="8"/>
        <v/>
      </c>
      <c r="AF64" s="76">
        <f t="shared" si="37"/>
        <v>75495.600000000006</v>
      </c>
      <c r="AG64" s="3" t="s">
        <v>56</v>
      </c>
      <c r="AH64" s="3"/>
      <c r="AI64" s="3"/>
      <c r="AJ64" s="3"/>
      <c r="AK64" s="3"/>
      <c r="AL64" s="3"/>
    </row>
    <row r="65" spans="1:38" ht="16.2" thickBot="1" x14ac:dyDescent="0.35">
      <c r="A65" s="93" t="s">
        <v>8</v>
      </c>
      <c r="B65" s="94">
        <v>40011</v>
      </c>
      <c r="C65" s="95">
        <v>248000</v>
      </c>
      <c r="D65" s="94">
        <v>44621</v>
      </c>
      <c r="E65" s="96">
        <v>450000</v>
      </c>
      <c r="F65" s="97"/>
      <c r="G65" s="95">
        <f t="shared" si="38"/>
        <v>450000</v>
      </c>
      <c r="H65" s="97">
        <v>0.01</v>
      </c>
      <c r="I65" s="95">
        <f t="shared" si="10"/>
        <v>4500</v>
      </c>
      <c r="J65" s="95">
        <f t="shared" si="11"/>
        <v>197500</v>
      </c>
      <c r="K65" s="97">
        <v>0.28000000000000003</v>
      </c>
      <c r="L65" s="98">
        <f t="shared" si="31"/>
        <v>55300.000000000007</v>
      </c>
      <c r="M65" s="97">
        <v>0.75</v>
      </c>
      <c r="N65" s="95">
        <f t="shared" si="32"/>
        <v>337500</v>
      </c>
      <c r="O65" s="95">
        <f t="shared" si="33"/>
        <v>112500</v>
      </c>
      <c r="P65" s="99">
        <f t="shared" si="12"/>
        <v>52700</v>
      </c>
      <c r="Q65" s="132">
        <f t="shared" si="13"/>
        <v>0.13689563567362426</v>
      </c>
      <c r="R65" s="120" t="s">
        <v>58</v>
      </c>
      <c r="S65" s="101">
        <v>3.7900000000000003E-2</v>
      </c>
      <c r="T65" s="102">
        <f t="shared" si="34"/>
        <v>12791.250000000002</v>
      </c>
      <c r="U65" s="103"/>
      <c r="V65" s="103">
        <v>26100</v>
      </c>
      <c r="W65" s="97"/>
      <c r="X65" s="102">
        <f t="shared" si="35"/>
        <v>26100</v>
      </c>
      <c r="Y65" s="104">
        <f t="shared" si="5"/>
        <v>5.8000000000000003E-2</v>
      </c>
      <c r="Z65" s="101">
        <v>0.23350000000000001</v>
      </c>
      <c r="AA65" s="102">
        <f t="shared" si="36"/>
        <v>6094.35</v>
      </c>
      <c r="AB65" s="103"/>
      <c r="AC65" s="105"/>
      <c r="AD65" s="106">
        <f t="shared" si="7"/>
        <v>0.75</v>
      </c>
      <c r="AE65" s="106">
        <f t="shared" si="8"/>
        <v>2.0404573438874229</v>
      </c>
      <c r="AF65" s="107">
        <f t="shared" si="37"/>
        <v>7214.3999999999978</v>
      </c>
      <c r="AG65" s="3"/>
      <c r="AH65" s="3"/>
      <c r="AI65" s="3"/>
      <c r="AJ65" s="3"/>
      <c r="AK65" s="3"/>
      <c r="AL65" s="3"/>
    </row>
    <row r="66" spans="1:38" ht="16.2" thickBot="1" x14ac:dyDescent="0.35">
      <c r="A66" s="109" t="s">
        <v>48</v>
      </c>
      <c r="B66" s="118"/>
      <c r="C66" s="119">
        <f t="shared" ref="C66:E66" si="39">SUM(C55:C65)</f>
        <v>6844086.0899999999</v>
      </c>
      <c r="D66" s="119"/>
      <c r="E66" s="119">
        <f t="shared" si="39"/>
        <v>8386000</v>
      </c>
      <c r="F66" s="112">
        <f t="shared" ref="F66:F67" si="40">(G66-E66)/E66</f>
        <v>-4.8891008824230864E-3</v>
      </c>
      <c r="G66" s="119">
        <f t="shared" ref="G66:J66" si="41">SUM(G55:G65)</f>
        <v>8345000</v>
      </c>
      <c r="H66" s="113">
        <f>I66/G66</f>
        <v>9.3582983822648284E-3</v>
      </c>
      <c r="I66" s="119">
        <f>SUM(I55:I65)</f>
        <v>78095</v>
      </c>
      <c r="J66" s="119">
        <f t="shared" si="41"/>
        <v>1422818.9100000001</v>
      </c>
      <c r="K66" s="113">
        <f>L66/J66</f>
        <v>0.27999999999999997</v>
      </c>
      <c r="L66" s="119">
        <f>SUM(L55:L65)</f>
        <v>398389.29480000003</v>
      </c>
      <c r="M66" s="114">
        <f>N66/E66</f>
        <v>8.5356546625327934E-2</v>
      </c>
      <c r="N66" s="119">
        <f t="shared" ref="N66:P66" si="42">SUM(N55:N65)</f>
        <v>715800</v>
      </c>
      <c r="O66" s="119">
        <f t="shared" si="42"/>
        <v>7629200</v>
      </c>
      <c r="P66" s="119">
        <f t="shared" si="42"/>
        <v>7152715.7051999997</v>
      </c>
      <c r="Q66" s="133">
        <f t="shared" si="13"/>
        <v>5.0779050219478025E-2</v>
      </c>
      <c r="R66" s="119"/>
      <c r="S66" s="112">
        <f>T66/N66</f>
        <v>3.7900000000000003E-2</v>
      </c>
      <c r="T66" s="115">
        <f t="shared" ref="T66:V66" si="43">SUM(T55:T65)</f>
        <v>27128.820000000003</v>
      </c>
      <c r="U66" s="115">
        <f t="shared" si="43"/>
        <v>0</v>
      </c>
      <c r="V66" s="115">
        <f t="shared" si="43"/>
        <v>465300</v>
      </c>
      <c r="W66" s="112">
        <f t="shared" ref="W66:W67" si="44">IF(V66=0, "", (X66-V66)/V66)</f>
        <v>0</v>
      </c>
      <c r="X66" s="115">
        <f>SUM(X55:X65)</f>
        <v>465300</v>
      </c>
      <c r="Y66" s="112">
        <f t="shared" si="5"/>
        <v>5.5757938885560215E-2</v>
      </c>
      <c r="Z66" s="112">
        <f>IF(X66=0, "", AA66/X66)</f>
        <v>0.16110696324951645</v>
      </c>
      <c r="AA66" s="115">
        <f>SUM(AA55:AA65)</f>
        <v>74963.070000000007</v>
      </c>
      <c r="AB66" s="115">
        <f>SUM(AB55:AB65)</f>
        <v>0</v>
      </c>
      <c r="AC66" s="115">
        <f>SUM(AC55:AC65)</f>
        <v>0</v>
      </c>
      <c r="AD66" s="114">
        <f t="shared" si="7"/>
        <v>8.5775913720790894E-2</v>
      </c>
      <c r="AE66" s="114">
        <f t="shared" si="8"/>
        <v>17.151501613413334</v>
      </c>
      <c r="AF66" s="116">
        <f>SUM(AF55:AF65)</f>
        <v>363208.11</v>
      </c>
      <c r="AG66" s="3"/>
      <c r="AH66" s="3"/>
      <c r="AI66" s="3"/>
      <c r="AJ66" s="3"/>
      <c r="AK66" s="3"/>
      <c r="AL66" s="3"/>
    </row>
    <row r="67" spans="1:38" ht="16.2" thickBot="1" x14ac:dyDescent="0.35">
      <c r="A67" s="141" t="s">
        <v>59</v>
      </c>
      <c r="B67" s="55"/>
      <c r="C67" s="121">
        <f t="shared" ref="C67:E67" si="45">C36+C54+C66</f>
        <v>17350190.09</v>
      </c>
      <c r="D67" s="55"/>
      <c r="E67" s="121">
        <f t="shared" si="45"/>
        <v>34801000</v>
      </c>
      <c r="F67" s="122">
        <f t="shared" si="40"/>
        <v>-1.1781270653142151E-3</v>
      </c>
      <c r="G67" s="121">
        <f t="shared" ref="G67:J67" si="46">G36+G54+G66</f>
        <v>34760000</v>
      </c>
      <c r="H67" s="123">
        <f>I67/G67</f>
        <v>9.8459436133486768E-3</v>
      </c>
      <c r="I67" s="121">
        <f>I36+I54+I66</f>
        <v>342245</v>
      </c>
      <c r="J67" s="121">
        <f t="shared" si="46"/>
        <v>17067564.91</v>
      </c>
      <c r="K67" s="123">
        <f>L67/J67</f>
        <v>0.25797977965914765</v>
      </c>
      <c r="L67" s="124">
        <f>L36+L54+L66</f>
        <v>4403086.6348000001</v>
      </c>
      <c r="M67" s="125">
        <f>N67/E67</f>
        <v>0.55188931352547344</v>
      </c>
      <c r="N67" s="121">
        <f t="shared" ref="N67:P67" si="47">N36+N54+N66</f>
        <v>19206300</v>
      </c>
      <c r="O67" s="121">
        <f t="shared" si="47"/>
        <v>15553700</v>
      </c>
      <c r="P67" s="126">
        <f t="shared" si="47"/>
        <v>10808368.3652</v>
      </c>
      <c r="Q67" s="134">
        <f>AF67/P67</f>
        <v>9.0027982126606051E-2</v>
      </c>
      <c r="R67" s="127"/>
      <c r="S67" s="122">
        <f>T67/N67</f>
        <v>3.5108080161197104E-2</v>
      </c>
      <c r="T67" s="128">
        <f t="shared" ref="T67:V67" si="48">SUM(T36+T54+T66)</f>
        <v>674296.31999999995</v>
      </c>
      <c r="U67" s="128">
        <f t="shared" si="48"/>
        <v>0</v>
      </c>
      <c r="V67" s="128">
        <f t="shared" si="48"/>
        <v>2041959</v>
      </c>
      <c r="W67" s="122">
        <f t="shared" si="44"/>
        <v>0</v>
      </c>
      <c r="X67" s="128">
        <f>SUM(X36+X54+X66)</f>
        <v>2041959</v>
      </c>
      <c r="Y67" s="122">
        <f t="shared" si="5"/>
        <v>5.8744505178365936E-2</v>
      </c>
      <c r="Z67" s="122">
        <f>IF(X67=0, "", AA67/X67)</f>
        <v>0.19275954414363852</v>
      </c>
      <c r="AA67" s="128">
        <f>SUM(AA36+AA54+AA66)</f>
        <v>393607.08599999995</v>
      </c>
      <c r="AB67" s="128">
        <f>SUM(AB36+AB54+AB66)</f>
        <v>1000</v>
      </c>
      <c r="AC67" s="129">
        <f>SUM(AC36+AC54+AC66)</f>
        <v>0</v>
      </c>
      <c r="AD67" s="130">
        <f t="shared" si="7"/>
        <v>0.55254027617951673</v>
      </c>
      <c r="AE67" s="130">
        <f t="shared" si="8"/>
        <v>3.0282813941502753</v>
      </c>
      <c r="AF67" s="131">
        <f>AF36+AF54+AF66</f>
        <v>973055.59399999992</v>
      </c>
      <c r="AG67" s="3"/>
      <c r="AH67" s="3"/>
      <c r="AI67" s="3"/>
      <c r="AJ67" s="3"/>
      <c r="AK67" s="3"/>
      <c r="AL67" s="3"/>
    </row>
    <row r="68" spans="1:38" x14ac:dyDescent="0.3">
      <c r="A68" s="6"/>
      <c r="B68" s="7"/>
      <c r="C68" s="8"/>
      <c r="D68" s="7"/>
      <c r="E68" s="8"/>
      <c r="F68" s="9"/>
      <c r="G68" s="8"/>
      <c r="H68" s="8"/>
      <c r="I68" s="8"/>
      <c r="J68" s="8"/>
      <c r="K68" s="7"/>
      <c r="L68" s="10"/>
      <c r="M68" s="11"/>
      <c r="N68" s="8"/>
      <c r="O68" s="8"/>
      <c r="P68" s="8"/>
      <c r="Q68" s="8"/>
      <c r="R68" s="5"/>
      <c r="S68" s="9"/>
      <c r="T68" s="12"/>
      <c r="U68" s="12"/>
      <c r="V68" s="12"/>
      <c r="W68" s="9"/>
      <c r="X68" s="12"/>
      <c r="Y68" s="9"/>
      <c r="Z68" s="9"/>
      <c r="AA68" s="12"/>
      <c r="AB68" s="12"/>
      <c r="AC68" s="12"/>
      <c r="AD68" s="11"/>
      <c r="AE68" s="9"/>
      <c r="AF68" s="12">
        <f>SUM(AF22:AF36)</f>
        <v>701839.39999999991</v>
      </c>
      <c r="AG68" s="3"/>
      <c r="AH68" s="3"/>
      <c r="AI68" s="3"/>
      <c r="AJ68" s="3"/>
      <c r="AK68" s="3"/>
      <c r="AL68" s="3"/>
    </row>
    <row r="69" spans="1:38" x14ac:dyDescent="0.3">
      <c r="A69" s="3"/>
      <c r="B69" s="2"/>
      <c r="C69" s="3"/>
      <c r="D69" s="2"/>
      <c r="E69" s="3"/>
      <c r="F69" s="3"/>
      <c r="G69" s="2"/>
      <c r="H69" s="2"/>
      <c r="I69" s="2"/>
      <c r="J69" s="2"/>
      <c r="K69" s="3"/>
      <c r="L69" s="3"/>
      <c r="M69" s="3"/>
      <c r="N69" s="3"/>
      <c r="O69" s="3"/>
      <c r="P69" s="3"/>
      <c r="Q69" s="3"/>
      <c r="R69" s="3"/>
      <c r="S69" s="3"/>
      <c r="T69" s="3"/>
      <c r="U69" s="3"/>
      <c r="V69" s="3"/>
      <c r="W69" s="3"/>
      <c r="X69" s="3"/>
      <c r="Y69" s="3"/>
      <c r="Z69" s="3"/>
      <c r="AA69" s="3"/>
      <c r="AB69" s="3"/>
      <c r="AC69" s="3"/>
      <c r="AD69" s="3"/>
      <c r="AE69" s="3"/>
      <c r="AF69" s="3"/>
      <c r="AG69" s="3"/>
      <c r="AH69" s="3"/>
      <c r="AI69" s="3"/>
      <c r="AJ69" s="3"/>
    </row>
    <row r="70" spans="1:38" x14ac:dyDescent="0.3">
      <c r="A70" s="3"/>
      <c r="B70" s="2"/>
      <c r="C70" s="3"/>
      <c r="D70" s="2"/>
      <c r="E70" s="3"/>
      <c r="F70" s="3"/>
      <c r="G70" s="2"/>
      <c r="H70" s="2"/>
      <c r="I70" s="2"/>
      <c r="J70" s="2"/>
      <c r="K70" s="3"/>
      <c r="L70" s="3"/>
      <c r="M70" s="3"/>
      <c r="N70" s="3"/>
      <c r="O70" s="3"/>
      <c r="P70" s="3"/>
      <c r="Q70" s="3"/>
      <c r="R70" s="3"/>
      <c r="S70" s="3"/>
      <c r="T70" s="3"/>
      <c r="U70" s="3"/>
      <c r="V70" s="3"/>
      <c r="W70" s="3"/>
      <c r="X70" s="3"/>
      <c r="Y70" s="3"/>
      <c r="Z70" s="3"/>
      <c r="AA70" s="3"/>
      <c r="AB70" s="3"/>
      <c r="AC70" s="3"/>
      <c r="AD70" s="3"/>
      <c r="AE70" s="3"/>
      <c r="AF70" s="3"/>
      <c r="AG70" s="3"/>
      <c r="AH70" s="3"/>
      <c r="AI70" s="3"/>
      <c r="AJ70" s="3"/>
    </row>
    <row r="71" spans="1:38" x14ac:dyDescent="0.3">
      <c r="A71" s="3"/>
      <c r="B71" s="2"/>
      <c r="C71" s="3"/>
      <c r="D71" s="2"/>
      <c r="E71" s="3"/>
      <c r="F71" s="3"/>
      <c r="G71" s="2"/>
      <c r="H71" s="2"/>
      <c r="I71" s="2"/>
      <c r="J71" s="2"/>
      <c r="K71" s="3"/>
      <c r="L71" s="3"/>
      <c r="M71" s="3"/>
      <c r="N71" s="3"/>
      <c r="O71" s="3"/>
      <c r="P71" s="3"/>
      <c r="Q71" s="3"/>
      <c r="R71" s="3"/>
      <c r="S71" s="3"/>
      <c r="T71" s="3"/>
      <c r="U71" s="3"/>
      <c r="V71" s="3"/>
      <c r="W71" s="3"/>
      <c r="X71" s="3"/>
      <c r="Y71" s="3"/>
      <c r="Z71" s="3"/>
      <c r="AA71" s="3"/>
      <c r="AB71" s="3"/>
      <c r="AC71" s="3"/>
      <c r="AD71" s="3"/>
      <c r="AE71" s="3"/>
      <c r="AF71" s="3"/>
      <c r="AG71" s="3"/>
      <c r="AH71" s="3"/>
      <c r="AI71" s="3"/>
      <c r="AJ71" s="3"/>
    </row>
    <row r="72" spans="1:38" x14ac:dyDescent="0.3">
      <c r="A72" s="135"/>
      <c r="B72" s="136"/>
      <c r="C72" s="3"/>
      <c r="D72" s="2"/>
      <c r="E72" s="3"/>
      <c r="F72" s="3"/>
      <c r="G72" s="2"/>
      <c r="H72" s="2"/>
      <c r="I72" s="2"/>
      <c r="J72" s="2"/>
      <c r="K72" s="3"/>
      <c r="L72" s="3"/>
      <c r="M72" s="3"/>
      <c r="N72" s="3"/>
      <c r="O72" s="3"/>
      <c r="P72" s="3"/>
      <c r="Q72" s="3"/>
      <c r="R72" s="3"/>
      <c r="S72" s="3"/>
      <c r="T72" s="3"/>
      <c r="U72" s="3"/>
      <c r="V72" s="3"/>
      <c r="W72" s="3"/>
      <c r="X72" s="3"/>
      <c r="Y72" s="3"/>
      <c r="Z72" s="3"/>
      <c r="AA72" s="3"/>
      <c r="AB72" s="3"/>
      <c r="AC72" s="3"/>
      <c r="AD72" s="3"/>
      <c r="AE72" s="3"/>
      <c r="AF72" s="3"/>
      <c r="AG72" s="3"/>
      <c r="AH72" s="3"/>
      <c r="AI72" s="3"/>
      <c r="AJ72" s="3"/>
    </row>
    <row r="73" spans="1:38" x14ac:dyDescent="0.3">
      <c r="A73" s="3"/>
      <c r="B73" s="2"/>
      <c r="C73" s="3"/>
      <c r="D73" s="2"/>
      <c r="E73" s="3"/>
      <c r="F73" s="3"/>
      <c r="G73" s="2"/>
      <c r="H73" s="2"/>
      <c r="I73" s="2"/>
      <c r="J73" s="2"/>
      <c r="K73" s="3"/>
      <c r="L73" s="3"/>
      <c r="M73" s="3"/>
      <c r="N73" s="3"/>
      <c r="O73" s="3"/>
      <c r="P73" s="3"/>
      <c r="Q73" s="3"/>
      <c r="R73" s="3"/>
      <c r="S73" s="3"/>
      <c r="T73" s="3"/>
      <c r="U73" s="3"/>
      <c r="V73" s="3"/>
      <c r="W73" s="3"/>
      <c r="X73" s="3"/>
      <c r="Y73" s="3"/>
      <c r="Z73" s="3"/>
      <c r="AA73" s="3"/>
      <c r="AB73" s="3"/>
      <c r="AC73" s="3"/>
      <c r="AD73" s="3"/>
      <c r="AE73" s="3"/>
      <c r="AF73" s="3"/>
      <c r="AG73" s="3"/>
      <c r="AH73" s="3"/>
      <c r="AI73" s="3"/>
      <c r="AJ73" s="3"/>
    </row>
    <row r="74" spans="1:38" x14ac:dyDescent="0.3">
      <c r="A74" s="3"/>
      <c r="B74" s="2"/>
      <c r="C74" s="3"/>
      <c r="D74" s="2"/>
      <c r="E74" s="3"/>
      <c r="F74" s="3"/>
      <c r="G74" s="2"/>
      <c r="H74" s="2"/>
      <c r="I74" s="2"/>
      <c r="J74" s="2"/>
      <c r="K74" s="3"/>
      <c r="L74" s="3"/>
      <c r="M74" s="3"/>
      <c r="N74" s="3"/>
      <c r="O74" s="3"/>
      <c r="P74" s="3"/>
      <c r="Q74" s="3"/>
      <c r="R74" s="3"/>
      <c r="S74" s="3"/>
      <c r="T74" s="3"/>
      <c r="U74" s="3"/>
      <c r="V74" s="3"/>
      <c r="W74" s="3"/>
      <c r="X74" s="3"/>
      <c r="Y74" s="3"/>
      <c r="Z74" s="3"/>
      <c r="AA74" s="3"/>
      <c r="AB74" s="3"/>
      <c r="AC74" s="3"/>
      <c r="AD74" s="3"/>
      <c r="AE74" s="3"/>
      <c r="AF74" s="3"/>
      <c r="AG74" s="3"/>
      <c r="AH74" s="3"/>
      <c r="AI74" s="3"/>
      <c r="AJ74" s="3"/>
    </row>
    <row r="75" spans="1:38" x14ac:dyDescent="0.3">
      <c r="A75" s="3"/>
      <c r="B75" s="2"/>
      <c r="C75" s="3"/>
      <c r="D75" s="2"/>
      <c r="E75" s="3"/>
      <c r="F75" s="3"/>
      <c r="G75" s="2"/>
      <c r="H75" s="2"/>
      <c r="I75" s="2"/>
      <c r="J75" s="2"/>
      <c r="K75" s="3"/>
      <c r="L75" s="3"/>
      <c r="M75" s="3"/>
      <c r="N75" s="3"/>
      <c r="O75" s="3"/>
      <c r="P75" s="3"/>
      <c r="Q75" s="3"/>
      <c r="R75" s="3"/>
      <c r="S75" s="3"/>
      <c r="T75" s="3"/>
      <c r="U75" s="3"/>
      <c r="V75" s="3"/>
      <c r="W75" s="3"/>
      <c r="X75" s="3"/>
      <c r="Y75" s="3"/>
      <c r="Z75" s="3"/>
      <c r="AA75" s="3"/>
      <c r="AB75" s="3"/>
      <c r="AC75" s="3"/>
      <c r="AD75" s="3"/>
      <c r="AE75" s="3"/>
      <c r="AF75" s="3"/>
      <c r="AG75" s="3"/>
      <c r="AH75" s="3"/>
      <c r="AI75" s="3"/>
      <c r="AJ75" s="3"/>
    </row>
    <row r="76" spans="1:38" x14ac:dyDescent="0.3">
      <c r="A76" s="3"/>
      <c r="B76" s="2"/>
      <c r="C76" s="3"/>
      <c r="D76" s="2"/>
      <c r="E76" s="3"/>
      <c r="F76" s="3"/>
      <c r="G76" s="2"/>
      <c r="H76" s="2"/>
      <c r="I76" s="2"/>
      <c r="J76" s="2"/>
      <c r="K76" s="3"/>
      <c r="L76" s="3"/>
      <c r="M76" s="3"/>
      <c r="N76" s="3"/>
      <c r="O76" s="3"/>
      <c r="P76" s="3"/>
      <c r="Q76" s="3"/>
      <c r="R76" s="3"/>
      <c r="S76" s="3"/>
      <c r="T76" s="3"/>
      <c r="U76" s="3"/>
      <c r="V76" s="3"/>
      <c r="W76" s="3"/>
      <c r="X76" s="3"/>
      <c r="Y76" s="3"/>
      <c r="Z76" s="3"/>
      <c r="AA76" s="3"/>
      <c r="AB76" s="3"/>
      <c r="AC76" s="3"/>
      <c r="AD76" s="3"/>
      <c r="AE76" s="3"/>
      <c r="AF76" s="3"/>
      <c r="AG76" s="3"/>
      <c r="AH76" s="3"/>
      <c r="AI76" s="3"/>
      <c r="AJ76" s="3"/>
    </row>
    <row r="77" spans="1:38" x14ac:dyDescent="0.3">
      <c r="A77" s="3"/>
      <c r="B77" s="2"/>
      <c r="C77" s="3"/>
      <c r="D77" s="2"/>
      <c r="E77" s="3"/>
      <c r="F77" s="3"/>
      <c r="G77" s="2"/>
      <c r="H77" s="2"/>
      <c r="I77" s="2"/>
      <c r="J77" s="2"/>
      <c r="K77" s="3"/>
      <c r="L77" s="3"/>
      <c r="M77" s="3"/>
      <c r="N77" s="3"/>
      <c r="O77" s="3"/>
      <c r="P77" s="3"/>
      <c r="Q77" s="3"/>
      <c r="R77" s="3"/>
      <c r="S77" s="3"/>
      <c r="T77" s="3"/>
      <c r="U77" s="3"/>
      <c r="V77" s="3"/>
      <c r="W77" s="3"/>
      <c r="X77" s="3"/>
      <c r="Y77" s="3"/>
      <c r="Z77" s="3"/>
      <c r="AA77" s="3"/>
      <c r="AB77" s="3"/>
      <c r="AC77" s="3"/>
      <c r="AD77" s="3"/>
      <c r="AE77" s="3"/>
      <c r="AF77" s="3"/>
      <c r="AG77" s="3"/>
      <c r="AH77" s="3"/>
      <c r="AI77" s="3"/>
      <c r="AJ77" s="3"/>
    </row>
    <row r="78" spans="1:38" x14ac:dyDescent="0.3">
      <c r="A78" s="3"/>
      <c r="B78" s="2"/>
      <c r="C78" s="3"/>
      <c r="D78" s="2"/>
      <c r="E78" s="3"/>
      <c r="F78" s="3"/>
      <c r="G78" s="2"/>
      <c r="H78" s="2"/>
      <c r="I78" s="2"/>
      <c r="J78" s="2"/>
      <c r="K78" s="3"/>
      <c r="L78" s="3"/>
      <c r="M78" s="3"/>
      <c r="N78" s="3"/>
      <c r="O78" s="3"/>
      <c r="P78" s="3"/>
      <c r="Q78" s="3"/>
      <c r="R78" s="3"/>
      <c r="S78" s="3"/>
      <c r="T78" s="3"/>
      <c r="U78" s="3"/>
      <c r="V78" s="3"/>
      <c r="W78" s="3"/>
      <c r="X78" s="3"/>
      <c r="Y78" s="3"/>
      <c r="Z78" s="3"/>
      <c r="AA78" s="3"/>
      <c r="AB78" s="3"/>
      <c r="AC78" s="3"/>
      <c r="AD78" s="3"/>
      <c r="AE78" s="3"/>
      <c r="AF78" s="3"/>
      <c r="AG78" s="3"/>
      <c r="AH78" s="3"/>
      <c r="AI78" s="3"/>
      <c r="AJ78" s="3"/>
    </row>
    <row r="79" spans="1:38" x14ac:dyDescent="0.3">
      <c r="A79" s="3"/>
      <c r="B79" s="2"/>
      <c r="C79" s="3"/>
      <c r="D79" s="2"/>
      <c r="E79" s="3"/>
      <c r="F79" s="3"/>
      <c r="G79" s="2"/>
      <c r="H79" s="2"/>
      <c r="I79" s="2"/>
      <c r="J79" s="2"/>
      <c r="K79" s="3"/>
      <c r="L79" s="3"/>
      <c r="M79" s="3"/>
      <c r="N79" s="3"/>
      <c r="O79" s="3"/>
      <c r="P79" s="3"/>
      <c r="Q79" s="3"/>
      <c r="R79" s="3"/>
      <c r="S79" s="3"/>
      <c r="T79" s="3"/>
      <c r="U79" s="3"/>
      <c r="V79" s="3"/>
      <c r="W79" s="3"/>
      <c r="X79" s="3"/>
      <c r="Y79" s="3"/>
      <c r="Z79" s="3"/>
      <c r="AA79" s="3"/>
      <c r="AB79" s="3"/>
      <c r="AC79" s="3"/>
      <c r="AD79" s="3"/>
      <c r="AE79" s="3"/>
      <c r="AF79" s="3"/>
      <c r="AG79" s="3"/>
      <c r="AH79" s="3"/>
      <c r="AI79" s="3"/>
      <c r="AJ79" s="3"/>
    </row>
    <row r="80" spans="1:38" x14ac:dyDescent="0.3">
      <c r="A80" s="3"/>
      <c r="B80" s="2"/>
      <c r="C80" s="3"/>
      <c r="D80" s="2"/>
      <c r="E80" s="3"/>
      <c r="F80" s="3"/>
      <c r="G80" s="2"/>
      <c r="H80" s="2"/>
      <c r="I80" s="2"/>
      <c r="J80" s="2"/>
      <c r="K80" s="3"/>
      <c r="L80" s="3"/>
      <c r="M80" s="3"/>
      <c r="N80" s="3"/>
      <c r="O80" s="3"/>
      <c r="P80" s="3"/>
      <c r="Q80" s="3"/>
      <c r="R80" s="3"/>
      <c r="S80" s="3"/>
      <c r="T80" s="3"/>
      <c r="U80" s="3"/>
      <c r="V80" s="3"/>
      <c r="W80" s="3"/>
      <c r="X80" s="3"/>
      <c r="Y80" s="3"/>
      <c r="Z80" s="3"/>
      <c r="AA80" s="3"/>
      <c r="AB80" s="3"/>
      <c r="AC80" s="3"/>
      <c r="AD80" s="3"/>
      <c r="AE80" s="3"/>
      <c r="AF80" s="3"/>
      <c r="AG80" s="3"/>
      <c r="AH80" s="3"/>
      <c r="AI80" s="3"/>
      <c r="AJ80" s="3"/>
    </row>
    <row r="81" spans="1:36" x14ac:dyDescent="0.3">
      <c r="A81" s="3"/>
      <c r="B81" s="2"/>
      <c r="C81" s="3"/>
      <c r="D81" s="2"/>
      <c r="E81" s="3"/>
      <c r="F81" s="3"/>
      <c r="G81" s="2"/>
      <c r="H81" s="2"/>
      <c r="I81" s="2"/>
      <c r="J81" s="2"/>
      <c r="K81" s="3"/>
      <c r="L81" s="3"/>
      <c r="M81" s="3"/>
      <c r="N81" s="3"/>
      <c r="O81" s="3"/>
      <c r="P81" s="3"/>
      <c r="Q81" s="3"/>
      <c r="R81" s="3"/>
      <c r="S81" s="3"/>
      <c r="T81" s="3"/>
      <c r="U81" s="3"/>
      <c r="V81" s="3"/>
      <c r="W81" s="3"/>
      <c r="X81" s="3"/>
      <c r="Y81" s="3"/>
      <c r="Z81" s="3"/>
      <c r="AA81" s="3"/>
      <c r="AB81" s="3"/>
      <c r="AC81" s="3"/>
      <c r="AD81" s="3"/>
      <c r="AE81" s="3"/>
      <c r="AF81" s="3"/>
      <c r="AG81" s="3"/>
      <c r="AH81" s="3"/>
      <c r="AI81" s="3"/>
      <c r="AJ81" s="3"/>
    </row>
    <row r="82" spans="1:36" x14ac:dyDescent="0.3">
      <c r="A82" s="3"/>
      <c r="B82" s="2"/>
      <c r="C82" s="3"/>
      <c r="D82" s="2"/>
      <c r="E82" s="3"/>
      <c r="F82" s="3"/>
      <c r="G82" s="2"/>
      <c r="H82" s="2"/>
      <c r="I82" s="2"/>
      <c r="J82" s="2"/>
      <c r="K82" s="3"/>
      <c r="L82" s="3"/>
      <c r="M82" s="3"/>
      <c r="N82" s="3"/>
      <c r="O82" s="3"/>
      <c r="P82" s="3"/>
      <c r="Q82" s="3"/>
      <c r="R82" s="3"/>
      <c r="S82" s="3"/>
      <c r="T82" s="3"/>
      <c r="U82" s="3"/>
      <c r="V82" s="3"/>
      <c r="W82" s="3"/>
      <c r="X82" s="3"/>
      <c r="Y82" s="3"/>
      <c r="Z82" s="3"/>
      <c r="AA82" s="3"/>
      <c r="AB82" s="3"/>
      <c r="AC82" s="3"/>
      <c r="AD82" s="3"/>
      <c r="AE82" s="3"/>
      <c r="AF82" s="3"/>
      <c r="AG82" s="3"/>
      <c r="AH82" s="3"/>
      <c r="AI82" s="3"/>
      <c r="AJ82" s="3"/>
    </row>
    <row r="83" spans="1:36" x14ac:dyDescent="0.3">
      <c r="A83" s="3"/>
      <c r="B83" s="2"/>
      <c r="C83" s="3"/>
      <c r="D83" s="2"/>
      <c r="E83" s="3"/>
      <c r="F83" s="3"/>
      <c r="G83" s="2"/>
      <c r="H83" s="2"/>
      <c r="I83" s="2"/>
      <c r="J83" s="2"/>
      <c r="K83" s="3"/>
      <c r="L83" s="3"/>
      <c r="M83" s="3"/>
      <c r="N83" s="3"/>
      <c r="O83" s="3"/>
      <c r="P83" s="3"/>
      <c r="Q83" s="3"/>
      <c r="R83" s="3"/>
      <c r="S83" s="3"/>
      <c r="T83" s="3"/>
      <c r="U83" s="3"/>
      <c r="V83" s="3"/>
      <c r="W83" s="3"/>
      <c r="X83" s="3"/>
      <c r="Y83" s="3"/>
      <c r="Z83" s="3"/>
      <c r="AA83" s="3"/>
      <c r="AB83" s="3"/>
      <c r="AC83" s="3"/>
      <c r="AD83" s="3"/>
      <c r="AE83" s="3"/>
      <c r="AF83" s="3"/>
      <c r="AG83" s="3"/>
      <c r="AH83" s="3"/>
      <c r="AI83" s="3"/>
      <c r="AJ83" s="3"/>
    </row>
    <row r="84" spans="1:36" x14ac:dyDescent="0.3">
      <c r="A84" s="3"/>
      <c r="B84" s="2"/>
      <c r="C84" s="3"/>
      <c r="D84" s="2"/>
      <c r="E84" s="3"/>
      <c r="F84" s="3"/>
      <c r="G84" s="2"/>
      <c r="H84" s="2"/>
      <c r="I84" s="2"/>
      <c r="J84" s="2"/>
      <c r="K84" s="3"/>
      <c r="L84" s="3"/>
      <c r="M84" s="3"/>
      <c r="N84" s="3"/>
      <c r="O84" s="3"/>
      <c r="P84" s="3"/>
      <c r="Q84" s="3"/>
      <c r="R84" s="3"/>
      <c r="S84" s="3"/>
      <c r="T84" s="3"/>
      <c r="U84" s="3"/>
      <c r="V84" s="3"/>
      <c r="W84" s="3"/>
      <c r="X84" s="3"/>
      <c r="Y84" s="3"/>
      <c r="Z84" s="3"/>
      <c r="AA84" s="3"/>
      <c r="AB84" s="3"/>
      <c r="AC84" s="3"/>
      <c r="AD84" s="3"/>
      <c r="AE84" s="3"/>
      <c r="AF84" s="3"/>
      <c r="AG84" s="3"/>
      <c r="AH84" s="3"/>
      <c r="AI84" s="3"/>
      <c r="AJ84" s="3"/>
    </row>
    <row r="85" spans="1:36" x14ac:dyDescent="0.3">
      <c r="A85" s="3"/>
      <c r="B85" s="2"/>
      <c r="C85" s="3"/>
      <c r="D85" s="2"/>
      <c r="E85" s="3"/>
      <c r="F85" s="3"/>
      <c r="G85" s="2"/>
      <c r="H85" s="2"/>
      <c r="I85" s="2"/>
      <c r="J85" s="2"/>
      <c r="K85" s="3"/>
      <c r="L85" s="3"/>
      <c r="M85" s="3"/>
      <c r="N85" s="3"/>
      <c r="O85" s="3"/>
      <c r="P85" s="3"/>
      <c r="Q85" s="3"/>
      <c r="R85" s="3"/>
      <c r="S85" s="3"/>
      <c r="T85" s="3"/>
      <c r="U85" s="3"/>
      <c r="V85" s="3"/>
      <c r="W85" s="3"/>
      <c r="X85" s="3"/>
      <c r="Y85" s="3"/>
      <c r="Z85" s="3"/>
      <c r="AA85" s="3"/>
      <c r="AB85" s="3"/>
      <c r="AC85" s="3"/>
      <c r="AD85" s="3"/>
      <c r="AE85" s="3"/>
      <c r="AF85" s="3"/>
      <c r="AG85" s="3"/>
      <c r="AH85" s="3"/>
      <c r="AI85" s="3"/>
      <c r="AJ85" s="3"/>
    </row>
    <row r="86" spans="1:36" x14ac:dyDescent="0.3">
      <c r="A86" s="3"/>
      <c r="B86" s="2"/>
      <c r="C86" s="3"/>
      <c r="D86" s="2"/>
      <c r="E86" s="3"/>
      <c r="F86" s="3"/>
      <c r="G86" s="2"/>
      <c r="H86" s="2"/>
      <c r="I86" s="2"/>
      <c r="J86" s="2"/>
      <c r="K86" s="3"/>
      <c r="L86" s="3"/>
      <c r="M86" s="3"/>
      <c r="N86" s="3"/>
      <c r="O86" s="3"/>
      <c r="P86" s="3"/>
      <c r="Q86" s="3"/>
      <c r="R86" s="3"/>
      <c r="S86" s="3"/>
      <c r="T86" s="3"/>
      <c r="U86" s="3"/>
      <c r="V86" s="3"/>
      <c r="W86" s="3"/>
      <c r="X86" s="3"/>
      <c r="Y86" s="3"/>
      <c r="Z86" s="3"/>
      <c r="AA86" s="3"/>
      <c r="AB86" s="3"/>
      <c r="AC86" s="3"/>
      <c r="AD86" s="3"/>
      <c r="AE86" s="3"/>
      <c r="AF86" s="3"/>
      <c r="AG86" s="3"/>
      <c r="AH86" s="3"/>
      <c r="AI86" s="3"/>
      <c r="AJ86" s="3"/>
    </row>
    <row r="87" spans="1:36" x14ac:dyDescent="0.3">
      <c r="A87" s="3"/>
      <c r="B87" s="2"/>
      <c r="C87" s="3"/>
      <c r="D87" s="2"/>
      <c r="E87" s="3"/>
      <c r="F87" s="3"/>
      <c r="G87" s="2"/>
      <c r="H87" s="2"/>
      <c r="I87" s="2"/>
      <c r="J87" s="2"/>
      <c r="K87" s="3"/>
      <c r="L87" s="3"/>
      <c r="M87" s="3"/>
      <c r="N87" s="3"/>
      <c r="O87" s="3"/>
      <c r="P87" s="3"/>
      <c r="Q87" s="3"/>
      <c r="R87" s="3"/>
      <c r="S87" s="3"/>
      <c r="T87" s="3"/>
      <c r="U87" s="3"/>
      <c r="V87" s="3"/>
      <c r="W87" s="3"/>
      <c r="X87" s="3"/>
      <c r="Y87" s="3"/>
      <c r="Z87" s="3"/>
      <c r="AA87" s="3"/>
      <c r="AB87" s="3"/>
      <c r="AC87" s="3"/>
      <c r="AD87" s="3"/>
      <c r="AE87" s="3"/>
      <c r="AF87" s="3"/>
      <c r="AG87" s="3"/>
      <c r="AH87" s="3"/>
      <c r="AI87" s="3"/>
      <c r="AJ87" s="3"/>
    </row>
    <row r="88" spans="1:36" x14ac:dyDescent="0.3">
      <c r="A88" s="3"/>
      <c r="B88" s="2"/>
      <c r="C88" s="3"/>
      <c r="D88" s="2"/>
      <c r="E88" s="3"/>
      <c r="F88" s="3"/>
      <c r="G88" s="2"/>
      <c r="H88" s="2"/>
      <c r="I88" s="2"/>
      <c r="J88" s="2"/>
      <c r="K88" s="3"/>
      <c r="L88" s="3"/>
      <c r="M88" s="3"/>
      <c r="N88" s="3"/>
      <c r="O88" s="3"/>
      <c r="P88" s="3"/>
      <c r="Q88" s="3"/>
      <c r="R88" s="3"/>
      <c r="S88" s="3"/>
      <c r="T88" s="3"/>
      <c r="U88" s="3"/>
      <c r="V88" s="3"/>
      <c r="W88" s="3"/>
      <c r="X88" s="3"/>
      <c r="Y88" s="3"/>
      <c r="Z88" s="3"/>
      <c r="AA88" s="3"/>
      <c r="AB88" s="3"/>
      <c r="AC88" s="3"/>
      <c r="AD88" s="3"/>
      <c r="AE88" s="3"/>
      <c r="AF88" s="3"/>
      <c r="AG88" s="3"/>
      <c r="AH88" s="3"/>
      <c r="AI88" s="3"/>
      <c r="AJ88" s="3"/>
    </row>
    <row r="89" spans="1:36" x14ac:dyDescent="0.3">
      <c r="A89" s="3"/>
      <c r="B89" s="2"/>
      <c r="C89" s="3"/>
      <c r="D89" s="2"/>
      <c r="E89" s="3"/>
      <c r="F89" s="3"/>
      <c r="G89" s="2"/>
      <c r="H89" s="2"/>
      <c r="I89" s="2"/>
      <c r="J89" s="2"/>
      <c r="K89" s="3"/>
      <c r="L89" s="3"/>
      <c r="M89" s="3"/>
      <c r="N89" s="3"/>
      <c r="O89" s="3"/>
      <c r="P89" s="3"/>
      <c r="Q89" s="3"/>
      <c r="R89" s="3"/>
      <c r="S89" s="3"/>
      <c r="T89" s="3"/>
      <c r="U89" s="3"/>
      <c r="V89" s="3"/>
      <c r="W89" s="3"/>
      <c r="X89" s="3"/>
      <c r="Y89" s="3"/>
      <c r="Z89" s="3"/>
      <c r="AA89" s="3"/>
      <c r="AB89" s="3"/>
      <c r="AC89" s="3"/>
      <c r="AD89" s="3"/>
      <c r="AE89" s="3"/>
      <c r="AF89" s="3"/>
      <c r="AG89" s="3"/>
      <c r="AH89" s="3"/>
      <c r="AI89" s="3"/>
      <c r="AJ89" s="3"/>
    </row>
    <row r="90" spans="1:36" x14ac:dyDescent="0.3">
      <c r="A90" s="3"/>
      <c r="B90" s="2"/>
      <c r="C90" s="3"/>
      <c r="D90" s="2"/>
      <c r="E90" s="3"/>
      <c r="F90" s="3"/>
      <c r="G90" s="2"/>
      <c r="H90" s="2"/>
      <c r="I90" s="2"/>
      <c r="J90" s="2"/>
      <c r="K90" s="3"/>
      <c r="L90" s="3"/>
      <c r="M90" s="3"/>
      <c r="N90" s="3"/>
      <c r="O90" s="3"/>
      <c r="P90" s="3"/>
      <c r="Q90" s="3"/>
      <c r="R90" s="3"/>
      <c r="S90" s="3"/>
      <c r="T90" s="3"/>
      <c r="U90" s="3"/>
      <c r="V90" s="3"/>
      <c r="W90" s="3"/>
      <c r="X90" s="3"/>
      <c r="Y90" s="3"/>
      <c r="Z90" s="3"/>
      <c r="AA90" s="3"/>
      <c r="AB90" s="3"/>
      <c r="AC90" s="3"/>
      <c r="AD90" s="3"/>
      <c r="AE90" s="3"/>
      <c r="AF90" s="3"/>
      <c r="AG90" s="3"/>
      <c r="AH90" s="3"/>
      <c r="AI90" s="3"/>
      <c r="AJ90" s="3"/>
    </row>
    <row r="91" spans="1:36" x14ac:dyDescent="0.3">
      <c r="A91" s="3"/>
      <c r="B91" s="2"/>
      <c r="C91" s="3"/>
      <c r="D91" s="2"/>
      <c r="E91" s="3"/>
      <c r="F91" s="3"/>
      <c r="G91" s="2"/>
      <c r="H91" s="2"/>
      <c r="I91" s="2"/>
      <c r="J91" s="2"/>
      <c r="K91" s="3"/>
      <c r="L91" s="3"/>
      <c r="M91" s="3"/>
      <c r="N91" s="3"/>
      <c r="O91" s="3"/>
      <c r="P91" s="3"/>
      <c r="Q91" s="3"/>
      <c r="R91" s="3"/>
      <c r="S91" s="3"/>
      <c r="T91" s="3"/>
      <c r="U91" s="3"/>
      <c r="V91" s="3"/>
      <c r="W91" s="3"/>
      <c r="X91" s="3"/>
      <c r="Y91" s="3"/>
      <c r="Z91" s="3"/>
      <c r="AA91" s="3"/>
      <c r="AB91" s="3"/>
      <c r="AC91" s="3"/>
      <c r="AD91" s="3"/>
      <c r="AE91" s="3"/>
      <c r="AF91" s="3"/>
      <c r="AG91" s="3"/>
      <c r="AH91" s="3"/>
      <c r="AI91" s="3"/>
      <c r="AJ91" s="3"/>
    </row>
    <row r="92" spans="1:36" x14ac:dyDescent="0.3">
      <c r="A92" s="3"/>
      <c r="B92" s="2"/>
      <c r="C92" s="3"/>
      <c r="D92" s="2"/>
      <c r="E92" s="3"/>
      <c r="F92" s="3"/>
      <c r="G92" s="2"/>
      <c r="H92" s="2"/>
      <c r="I92" s="2"/>
      <c r="J92" s="2"/>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6" x14ac:dyDescent="0.3">
      <c r="A93" s="3"/>
      <c r="B93" s="2"/>
      <c r="C93" s="3"/>
      <c r="D93" s="2"/>
      <c r="E93" s="3"/>
      <c r="F93" s="3"/>
      <c r="G93" s="2"/>
      <c r="H93" s="2"/>
      <c r="I93" s="2"/>
      <c r="J93" s="2"/>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6" x14ac:dyDescent="0.3">
      <c r="A94" s="3"/>
      <c r="B94" s="2"/>
      <c r="C94" s="3"/>
      <c r="D94" s="2"/>
      <c r="E94" s="3"/>
      <c r="F94" s="3"/>
      <c r="G94" s="2"/>
      <c r="H94" s="2"/>
      <c r="I94" s="2"/>
      <c r="J94" s="2"/>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6" x14ac:dyDescent="0.3">
      <c r="A95" s="3"/>
      <c r="B95" s="2"/>
      <c r="C95" s="3"/>
      <c r="D95" s="2"/>
      <c r="E95" s="3"/>
      <c r="F95" s="3"/>
      <c r="G95" s="2"/>
      <c r="H95" s="2"/>
      <c r="I95" s="2"/>
      <c r="J95" s="2"/>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6" x14ac:dyDescent="0.3">
      <c r="A96" s="3"/>
      <c r="B96" s="2"/>
      <c r="C96" s="3"/>
      <c r="D96" s="2"/>
      <c r="E96" s="3"/>
      <c r="F96" s="3"/>
      <c r="G96" s="2"/>
      <c r="H96" s="2"/>
      <c r="I96" s="2"/>
      <c r="J96" s="2"/>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8" x14ac:dyDescent="0.3">
      <c r="A97" s="3"/>
      <c r="B97" s="2"/>
      <c r="C97" s="3"/>
      <c r="D97" s="2"/>
      <c r="E97" s="3"/>
      <c r="F97" s="3"/>
      <c r="G97" s="2"/>
      <c r="H97" s="2"/>
      <c r="I97" s="2"/>
      <c r="J97" s="2"/>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8" x14ac:dyDescent="0.3">
      <c r="A98" s="3"/>
      <c r="B98" s="2"/>
      <c r="C98" s="3"/>
      <c r="D98" s="2"/>
      <c r="E98" s="3"/>
      <c r="F98" s="3"/>
      <c r="G98" s="2"/>
      <c r="H98" s="2"/>
      <c r="I98" s="2"/>
      <c r="J98" s="2"/>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8" x14ac:dyDescent="0.3">
      <c r="A99" s="3"/>
      <c r="B99" s="2"/>
      <c r="C99" s="3"/>
      <c r="D99" s="2"/>
      <c r="E99" s="3"/>
      <c r="F99" s="3"/>
      <c r="G99" s="2"/>
      <c r="H99" s="2"/>
      <c r="I99" s="2"/>
      <c r="J99" s="2"/>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8" x14ac:dyDescent="0.3">
      <c r="A100" s="3"/>
      <c r="B100" s="2"/>
      <c r="C100" s="3"/>
      <c r="D100" s="2"/>
      <c r="E100" s="3"/>
      <c r="F100" s="3"/>
      <c r="G100" s="2"/>
      <c r="H100" s="2"/>
      <c r="I100" s="2"/>
      <c r="J100" s="2"/>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8" x14ac:dyDescent="0.3">
      <c r="A101" s="3"/>
      <c r="B101" s="2"/>
      <c r="C101" s="3"/>
      <c r="D101" s="2"/>
      <c r="E101" s="3"/>
      <c r="F101" s="3"/>
      <c r="G101" s="2"/>
      <c r="H101" s="2"/>
      <c r="I101" s="2"/>
      <c r="J101" s="2"/>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8" x14ac:dyDescent="0.3">
      <c r="A102" s="3"/>
      <c r="B102" s="2"/>
      <c r="C102" s="3"/>
      <c r="D102" s="2"/>
      <c r="E102" s="3"/>
      <c r="F102" s="3"/>
      <c r="G102" s="2"/>
      <c r="H102" s="2"/>
      <c r="I102" s="2"/>
      <c r="J102" s="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row r="103" spans="1:38" x14ac:dyDescent="0.3">
      <c r="A103" s="3"/>
      <c r="B103" s="2"/>
      <c r="C103" s="3"/>
      <c r="D103" s="2"/>
      <c r="E103" s="3"/>
      <c r="F103" s="3"/>
      <c r="G103" s="2"/>
      <c r="H103" s="2"/>
      <c r="I103" s="2"/>
      <c r="J103" s="2"/>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row>
    <row r="104" spans="1:38" x14ac:dyDescent="0.3">
      <c r="A104" s="3"/>
      <c r="B104" s="2"/>
      <c r="C104" s="3"/>
      <c r="D104" s="2"/>
      <c r="E104" s="3"/>
      <c r="F104" s="3"/>
      <c r="G104" s="2"/>
      <c r="H104" s="2"/>
      <c r="I104" s="2"/>
      <c r="J104" s="2"/>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row>
    <row r="105" spans="1:38" x14ac:dyDescent="0.3">
      <c r="A105" s="3"/>
      <c r="B105" s="2"/>
      <c r="C105" s="3"/>
      <c r="D105" s="2"/>
      <c r="E105" s="3"/>
      <c r="F105" s="3"/>
      <c r="G105" s="2"/>
      <c r="H105" s="2"/>
      <c r="I105" s="2"/>
      <c r="J105" s="2"/>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row>
    <row r="106" spans="1:38" x14ac:dyDescent="0.3">
      <c r="A106" s="3"/>
      <c r="B106" s="2"/>
      <c r="C106" s="3"/>
      <c r="D106" s="2"/>
      <c r="E106" s="3"/>
      <c r="F106" s="2"/>
      <c r="G106" s="3"/>
      <c r="H106" s="3"/>
      <c r="I106" s="3"/>
      <c r="J106" s="3"/>
      <c r="K106" s="2"/>
      <c r="L106" s="2"/>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x14ac:dyDescent="0.3">
      <c r="A107" s="3"/>
      <c r="B107" s="2"/>
      <c r="C107" s="3"/>
      <c r="D107" s="2"/>
      <c r="E107" s="3"/>
      <c r="F107" s="2"/>
      <c r="G107" s="3"/>
      <c r="H107" s="3"/>
      <c r="I107" s="3"/>
      <c r="J107" s="3"/>
      <c r="K107" s="2"/>
      <c r="L107" s="2"/>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x14ac:dyDescent="0.3">
      <c r="A108" s="3"/>
      <c r="B108" s="2"/>
      <c r="C108" s="3"/>
      <c r="D108" s="2"/>
      <c r="E108" s="3"/>
      <c r="F108" s="2"/>
      <c r="G108" s="3"/>
      <c r="H108" s="3"/>
      <c r="I108" s="3"/>
      <c r="J108" s="3"/>
      <c r="K108" s="2"/>
      <c r="L108" s="2"/>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x14ac:dyDescent="0.3">
      <c r="A109" s="3"/>
      <c r="B109" s="2"/>
      <c r="C109" s="3"/>
      <c r="D109" s="2"/>
      <c r="E109" s="3"/>
      <c r="F109" s="2"/>
      <c r="G109" s="3"/>
      <c r="H109" s="3"/>
      <c r="I109" s="3"/>
      <c r="J109" s="3"/>
      <c r="K109" s="2"/>
      <c r="L109" s="2"/>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x14ac:dyDescent="0.3">
      <c r="A110" s="3"/>
      <c r="B110" s="2"/>
      <c r="C110" s="3"/>
      <c r="D110" s="2"/>
      <c r="E110" s="3"/>
      <c r="F110" s="2"/>
      <c r="G110" s="3"/>
      <c r="H110" s="3"/>
      <c r="I110" s="3"/>
      <c r="J110" s="3"/>
      <c r="K110" s="2"/>
      <c r="L110" s="2"/>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x14ac:dyDescent="0.3">
      <c r="A111" s="3"/>
      <c r="B111" s="2"/>
      <c r="C111" s="3"/>
      <c r="D111" s="2"/>
      <c r="E111" s="3"/>
      <c r="F111" s="2"/>
      <c r="G111" s="3"/>
      <c r="H111" s="3"/>
      <c r="I111" s="3"/>
      <c r="J111" s="3"/>
      <c r="K111" s="2"/>
      <c r="L111" s="2"/>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x14ac:dyDescent="0.3">
      <c r="A112" s="3"/>
      <c r="B112" s="2"/>
      <c r="C112" s="3"/>
      <c r="D112" s="2"/>
      <c r="E112" s="3"/>
      <c r="F112" s="2"/>
      <c r="G112" s="3"/>
      <c r="H112" s="3"/>
      <c r="I112" s="3"/>
      <c r="J112" s="3"/>
      <c r="K112" s="2"/>
      <c r="L112" s="2"/>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x14ac:dyDescent="0.3">
      <c r="A113" s="3"/>
      <c r="B113" s="2"/>
      <c r="C113" s="3"/>
      <c r="D113" s="2"/>
      <c r="E113" s="3"/>
      <c r="F113" s="2"/>
      <c r="G113" s="3"/>
      <c r="H113" s="3"/>
      <c r="I113" s="3"/>
      <c r="J113" s="3"/>
      <c r="K113" s="2"/>
      <c r="L113" s="2"/>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x14ac:dyDescent="0.3">
      <c r="A114" s="3"/>
      <c r="B114" s="2"/>
      <c r="C114" s="3"/>
      <c r="D114" s="2"/>
      <c r="E114" s="3"/>
      <c r="F114" s="2"/>
      <c r="G114" s="3"/>
      <c r="H114" s="3"/>
      <c r="I114" s="3"/>
      <c r="J114" s="3"/>
      <c r="K114" s="2"/>
      <c r="L114" s="2"/>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x14ac:dyDescent="0.3">
      <c r="A115" s="3"/>
      <c r="B115" s="2"/>
      <c r="C115" s="3"/>
      <c r="D115" s="2"/>
      <c r="E115" s="3"/>
      <c r="F115" s="2"/>
      <c r="G115" s="3"/>
      <c r="H115" s="3"/>
      <c r="I115" s="3"/>
      <c r="J115" s="3"/>
      <c r="K115" s="2"/>
      <c r="L115" s="2"/>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x14ac:dyDescent="0.3">
      <c r="A116" s="3"/>
      <c r="B116" s="2"/>
      <c r="C116" s="3"/>
      <c r="D116" s="2"/>
      <c r="E116" s="3"/>
      <c r="F116" s="2"/>
      <c r="G116" s="3"/>
      <c r="H116" s="3"/>
      <c r="I116" s="3"/>
      <c r="J116" s="3"/>
      <c r="K116" s="2"/>
      <c r="L116" s="2"/>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x14ac:dyDescent="0.3">
      <c r="A117" s="3"/>
      <c r="B117" s="2"/>
      <c r="C117" s="3"/>
      <c r="D117" s="2"/>
      <c r="E117" s="3"/>
      <c r="F117" s="2"/>
      <c r="G117" s="3"/>
      <c r="H117" s="3"/>
      <c r="I117" s="3"/>
      <c r="J117" s="3"/>
      <c r="K117" s="2"/>
      <c r="L117" s="2"/>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x14ac:dyDescent="0.3">
      <c r="A118" s="3"/>
      <c r="B118" s="2"/>
      <c r="C118" s="3"/>
      <c r="D118" s="2"/>
      <c r="E118" s="3"/>
      <c r="F118" s="2"/>
      <c r="G118" s="3"/>
      <c r="H118" s="3"/>
      <c r="I118" s="3"/>
      <c r="J118" s="3"/>
      <c r="K118" s="2"/>
      <c r="L118" s="2"/>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x14ac:dyDescent="0.3">
      <c r="A119" s="3"/>
      <c r="B119" s="2"/>
      <c r="C119" s="3"/>
      <c r="D119" s="2"/>
      <c r="E119" s="3"/>
      <c r="F119" s="2"/>
      <c r="G119" s="3"/>
      <c r="H119" s="3"/>
      <c r="I119" s="3"/>
      <c r="J119" s="3"/>
      <c r="K119" s="2"/>
      <c r="L119" s="2"/>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x14ac:dyDescent="0.3">
      <c r="A120" s="3"/>
      <c r="B120" s="2"/>
      <c r="C120" s="3"/>
      <c r="D120" s="2"/>
      <c r="E120" s="3"/>
      <c r="F120" s="2"/>
      <c r="G120" s="3"/>
      <c r="H120" s="3"/>
      <c r="I120" s="3"/>
      <c r="J120" s="3"/>
      <c r="K120" s="2"/>
      <c r="L120" s="2"/>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x14ac:dyDescent="0.3">
      <c r="A121" s="3"/>
      <c r="B121" s="2"/>
      <c r="C121" s="3"/>
      <c r="D121" s="2"/>
      <c r="E121" s="3"/>
      <c r="F121" s="2"/>
      <c r="G121" s="3"/>
      <c r="H121" s="3"/>
      <c r="I121" s="3"/>
      <c r="J121" s="3"/>
      <c r="K121" s="2"/>
      <c r="L121" s="2"/>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x14ac:dyDescent="0.3">
      <c r="A122" s="3"/>
      <c r="B122" s="2"/>
      <c r="C122" s="3"/>
      <c r="D122" s="2"/>
      <c r="E122" s="3"/>
      <c r="F122" s="2"/>
      <c r="G122" s="3"/>
      <c r="H122" s="3"/>
      <c r="I122" s="3"/>
      <c r="J122" s="3"/>
      <c r="K122" s="2"/>
      <c r="L122" s="2"/>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x14ac:dyDescent="0.3">
      <c r="A123" s="3"/>
      <c r="B123" s="2"/>
      <c r="C123" s="3"/>
      <c r="D123" s="2"/>
      <c r="E123" s="3"/>
      <c r="F123" s="2"/>
      <c r="G123" s="3"/>
      <c r="H123" s="3"/>
      <c r="I123" s="3"/>
      <c r="J123" s="3"/>
      <c r="K123" s="2"/>
      <c r="L123" s="2"/>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x14ac:dyDescent="0.3">
      <c r="A124" s="3"/>
      <c r="B124" s="2"/>
      <c r="C124" s="3"/>
      <c r="D124" s="2"/>
      <c r="E124" s="3"/>
      <c r="F124" s="2"/>
      <c r="G124" s="3"/>
      <c r="H124" s="3"/>
      <c r="I124" s="3"/>
      <c r="J124" s="3"/>
      <c r="K124" s="2"/>
      <c r="L124" s="2"/>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x14ac:dyDescent="0.3">
      <c r="A125" s="3"/>
      <c r="B125" s="2"/>
      <c r="C125" s="3"/>
      <c r="D125" s="2"/>
      <c r="E125" s="3"/>
      <c r="F125" s="2"/>
      <c r="G125" s="3"/>
      <c r="H125" s="3"/>
      <c r="I125" s="3"/>
      <c r="J125" s="3"/>
      <c r="K125" s="2"/>
      <c r="L125" s="2"/>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x14ac:dyDescent="0.3">
      <c r="A126" s="3"/>
      <c r="B126" s="2"/>
      <c r="C126" s="3"/>
      <c r="D126" s="2"/>
      <c r="E126" s="3"/>
      <c r="F126" s="2"/>
      <c r="G126" s="3"/>
      <c r="H126" s="3"/>
      <c r="I126" s="3"/>
      <c r="J126" s="3"/>
      <c r="K126" s="2"/>
      <c r="L126" s="2"/>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x14ac:dyDescent="0.3">
      <c r="A127" s="3"/>
      <c r="B127" s="2"/>
      <c r="C127" s="3"/>
      <c r="D127" s="2"/>
      <c r="E127" s="3"/>
      <c r="F127" s="2"/>
      <c r="G127" s="3"/>
      <c r="H127" s="3"/>
      <c r="I127" s="3"/>
      <c r="J127" s="3"/>
      <c r="K127" s="2"/>
      <c r="L127" s="2"/>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x14ac:dyDescent="0.3">
      <c r="A128" s="3"/>
      <c r="B128" s="2"/>
      <c r="C128" s="3"/>
      <c r="D128" s="2"/>
      <c r="E128" s="3"/>
      <c r="F128" s="2"/>
      <c r="G128" s="3"/>
      <c r="H128" s="3"/>
      <c r="I128" s="3"/>
      <c r="J128" s="3"/>
      <c r="K128" s="2"/>
      <c r="L128" s="2"/>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x14ac:dyDescent="0.3">
      <c r="A129" s="3"/>
      <c r="B129" s="2"/>
      <c r="C129" s="3"/>
      <c r="D129" s="2"/>
      <c r="E129" s="3"/>
      <c r="F129" s="2"/>
      <c r="G129" s="3"/>
      <c r="H129" s="3"/>
      <c r="I129" s="3"/>
      <c r="J129" s="3"/>
      <c r="K129" s="2"/>
      <c r="L129" s="2"/>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x14ac:dyDescent="0.3">
      <c r="A130" s="3"/>
      <c r="B130" s="2"/>
      <c r="C130" s="3"/>
      <c r="D130" s="2"/>
      <c r="E130" s="3"/>
      <c r="F130" s="2"/>
      <c r="G130" s="3"/>
      <c r="H130" s="3"/>
      <c r="I130" s="3"/>
      <c r="J130" s="3"/>
      <c r="K130" s="2"/>
      <c r="L130" s="2"/>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x14ac:dyDescent="0.3">
      <c r="A131" s="3"/>
      <c r="B131" s="2"/>
      <c r="C131" s="3"/>
      <c r="D131" s="2"/>
      <c r="E131" s="3"/>
      <c r="F131" s="2"/>
      <c r="G131" s="3"/>
      <c r="H131" s="3"/>
      <c r="I131" s="3"/>
      <c r="J131" s="3"/>
      <c r="K131" s="2"/>
      <c r="L131" s="2"/>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x14ac:dyDescent="0.3">
      <c r="A132" s="3"/>
      <c r="B132" s="2"/>
      <c r="C132" s="3"/>
      <c r="D132" s="2"/>
      <c r="E132" s="3"/>
      <c r="F132" s="2"/>
      <c r="G132" s="3"/>
      <c r="H132" s="3"/>
      <c r="I132" s="3"/>
      <c r="J132" s="3"/>
      <c r="K132" s="2"/>
      <c r="L132" s="2"/>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x14ac:dyDescent="0.3">
      <c r="A133" s="3"/>
      <c r="B133" s="2"/>
      <c r="C133" s="3"/>
      <c r="D133" s="2"/>
      <c r="E133" s="3"/>
      <c r="F133" s="2"/>
      <c r="G133" s="3"/>
      <c r="H133" s="3"/>
      <c r="I133" s="3"/>
      <c r="J133" s="3"/>
      <c r="K133" s="2"/>
      <c r="L133" s="2"/>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x14ac:dyDescent="0.3">
      <c r="A134" s="3"/>
      <c r="B134" s="2"/>
      <c r="C134" s="3"/>
      <c r="D134" s="2"/>
      <c r="E134" s="3"/>
      <c r="F134" s="2"/>
      <c r="G134" s="3"/>
      <c r="H134" s="3"/>
      <c r="I134" s="3"/>
      <c r="J134" s="3"/>
      <c r="K134" s="2"/>
      <c r="L134" s="2"/>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x14ac:dyDescent="0.3">
      <c r="A135" s="3"/>
      <c r="B135" s="2"/>
      <c r="C135" s="3"/>
      <c r="D135" s="2"/>
      <c r="E135" s="3"/>
      <c r="F135" s="2"/>
      <c r="G135" s="3"/>
      <c r="H135" s="3"/>
      <c r="I135" s="3"/>
      <c r="J135" s="3"/>
      <c r="K135" s="2"/>
      <c r="L135" s="2"/>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x14ac:dyDescent="0.3">
      <c r="A136" s="3"/>
      <c r="B136" s="2"/>
      <c r="C136" s="3"/>
      <c r="D136" s="2"/>
      <c r="E136" s="3"/>
      <c r="F136" s="2"/>
      <c r="G136" s="3"/>
      <c r="H136" s="3"/>
      <c r="I136" s="3"/>
      <c r="J136" s="3"/>
      <c r="K136" s="2"/>
      <c r="L136" s="2"/>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x14ac:dyDescent="0.3">
      <c r="A137" s="3"/>
      <c r="B137" s="2"/>
      <c r="C137" s="3"/>
      <c r="D137" s="2"/>
      <c r="E137" s="3"/>
      <c r="F137" s="2"/>
      <c r="G137" s="3"/>
      <c r="H137" s="3"/>
      <c r="I137" s="3"/>
      <c r="J137" s="3"/>
      <c r="K137" s="2"/>
      <c r="L137" s="2"/>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x14ac:dyDescent="0.3">
      <c r="A138" s="3"/>
      <c r="B138" s="2"/>
      <c r="C138" s="3"/>
      <c r="D138" s="2"/>
      <c r="E138" s="3"/>
      <c r="F138" s="2"/>
      <c r="G138" s="3"/>
      <c r="H138" s="3"/>
      <c r="I138" s="3"/>
      <c r="J138" s="3"/>
      <c r="K138" s="2"/>
      <c r="L138" s="2"/>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x14ac:dyDescent="0.3">
      <c r="A139" s="3"/>
      <c r="B139" s="2"/>
      <c r="C139" s="3"/>
      <c r="D139" s="2"/>
      <c r="E139" s="3"/>
      <c r="F139" s="2"/>
      <c r="G139" s="3"/>
      <c r="H139" s="3"/>
      <c r="I139" s="3"/>
      <c r="J139" s="3"/>
      <c r="K139" s="2"/>
      <c r="L139" s="2"/>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x14ac:dyDescent="0.3">
      <c r="A140" s="3"/>
      <c r="B140" s="2"/>
      <c r="C140" s="3"/>
      <c r="D140" s="2"/>
      <c r="E140" s="3"/>
      <c r="F140" s="2"/>
      <c r="G140" s="3"/>
      <c r="H140" s="3"/>
      <c r="I140" s="3"/>
      <c r="J140" s="3"/>
      <c r="K140" s="2"/>
      <c r="L140" s="2"/>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x14ac:dyDescent="0.3">
      <c r="A141" s="3"/>
      <c r="B141" s="2"/>
      <c r="C141" s="3"/>
      <c r="D141" s="2"/>
      <c r="E141" s="3"/>
      <c r="F141" s="2"/>
      <c r="G141" s="3"/>
      <c r="H141" s="3"/>
      <c r="I141" s="3"/>
      <c r="J141" s="3"/>
      <c r="K141" s="2"/>
      <c r="L141" s="2"/>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x14ac:dyDescent="0.3">
      <c r="A142" s="3"/>
      <c r="B142" s="2"/>
      <c r="C142" s="3"/>
      <c r="D142" s="2"/>
      <c r="E142" s="3"/>
      <c r="F142" s="2"/>
      <c r="G142" s="3"/>
      <c r="H142" s="3"/>
      <c r="I142" s="3"/>
      <c r="J142" s="3"/>
      <c r="K142" s="2"/>
      <c r="L142" s="2"/>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x14ac:dyDescent="0.3">
      <c r="A143" s="3"/>
      <c r="B143" s="2"/>
      <c r="C143" s="3"/>
      <c r="D143" s="2"/>
      <c r="E143" s="3"/>
      <c r="F143" s="2"/>
      <c r="G143" s="3"/>
      <c r="H143" s="3"/>
      <c r="I143" s="3"/>
      <c r="J143" s="3"/>
      <c r="K143" s="2"/>
      <c r="L143" s="2"/>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x14ac:dyDescent="0.3">
      <c r="A144" s="3"/>
      <c r="B144" s="2"/>
      <c r="C144" s="3"/>
      <c r="D144" s="2"/>
      <c r="E144" s="3"/>
      <c r="F144" s="2"/>
      <c r="G144" s="3"/>
      <c r="H144" s="3"/>
      <c r="I144" s="3"/>
      <c r="J144" s="3"/>
      <c r="K144" s="2"/>
      <c r="L144" s="2"/>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x14ac:dyDescent="0.3">
      <c r="A145" s="3"/>
      <c r="B145" s="2"/>
      <c r="C145" s="3"/>
      <c r="D145" s="2"/>
      <c r="E145" s="3"/>
      <c r="F145" s="2"/>
      <c r="G145" s="3"/>
      <c r="H145" s="3"/>
      <c r="I145" s="3"/>
      <c r="J145" s="3"/>
      <c r="K145" s="2"/>
      <c r="L145" s="2"/>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row r="146" spans="1:38" x14ac:dyDescent="0.3">
      <c r="A146" s="3"/>
      <c r="B146" s="2"/>
      <c r="C146" s="3"/>
      <c r="D146" s="2"/>
      <c r="E146" s="3"/>
      <c r="F146" s="2"/>
      <c r="G146" s="3"/>
      <c r="H146" s="3"/>
      <c r="I146" s="3"/>
      <c r="J146" s="3"/>
      <c r="K146" s="2"/>
      <c r="L146" s="2"/>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row>
    <row r="147" spans="1:38" x14ac:dyDescent="0.3">
      <c r="A147" s="3"/>
      <c r="B147" s="2"/>
      <c r="C147" s="3"/>
      <c r="D147" s="2"/>
      <c r="E147" s="3"/>
      <c r="F147" s="2"/>
      <c r="G147" s="3"/>
      <c r="H147" s="3"/>
      <c r="I147" s="3"/>
      <c r="J147" s="3"/>
      <c r="K147" s="2"/>
      <c r="L147" s="2"/>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row>
    <row r="148" spans="1:38" x14ac:dyDescent="0.3">
      <c r="A148" s="3"/>
      <c r="B148" s="2"/>
      <c r="C148" s="3"/>
      <c r="D148" s="2"/>
      <c r="E148" s="3"/>
      <c r="F148" s="2"/>
      <c r="G148" s="3"/>
      <c r="H148" s="3"/>
      <c r="I148" s="3"/>
      <c r="J148" s="3"/>
      <c r="K148" s="2"/>
      <c r="L148" s="2"/>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row>
    <row r="149" spans="1:38" x14ac:dyDescent="0.3">
      <c r="A149" s="3"/>
      <c r="B149" s="2"/>
      <c r="C149" s="3"/>
      <c r="D149" s="2"/>
      <c r="E149" s="3"/>
      <c r="F149" s="2"/>
      <c r="G149" s="3"/>
      <c r="H149" s="3"/>
      <c r="I149" s="3"/>
      <c r="J149" s="3"/>
      <c r="K149" s="2"/>
      <c r="L149" s="2"/>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row>
    <row r="150" spans="1:38" x14ac:dyDescent="0.3">
      <c r="A150" s="3"/>
      <c r="B150" s="2"/>
      <c r="C150" s="3"/>
      <c r="D150" s="2"/>
      <c r="E150" s="3"/>
      <c r="F150" s="2"/>
      <c r="G150" s="3"/>
      <c r="H150" s="3"/>
      <c r="I150" s="3"/>
      <c r="J150" s="3"/>
      <c r="K150" s="2"/>
      <c r="L150" s="2"/>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row>
    <row r="151" spans="1:38" x14ac:dyDescent="0.3">
      <c r="A151" s="3"/>
      <c r="B151" s="2"/>
      <c r="C151" s="3"/>
      <c r="D151" s="2"/>
      <c r="E151" s="3"/>
      <c r="F151" s="2"/>
      <c r="G151" s="3"/>
      <c r="H151" s="3"/>
      <c r="I151" s="3"/>
      <c r="J151" s="3"/>
      <c r="K151" s="2"/>
      <c r="L151" s="2"/>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row>
    <row r="152" spans="1:38" x14ac:dyDescent="0.3">
      <c r="A152" s="3"/>
      <c r="B152" s="2"/>
      <c r="C152" s="3"/>
      <c r="D152" s="2"/>
      <c r="E152" s="3"/>
      <c r="F152" s="2"/>
      <c r="G152" s="3"/>
      <c r="H152" s="3"/>
      <c r="I152" s="3"/>
      <c r="J152" s="3"/>
      <c r="K152" s="2"/>
      <c r="L152" s="2"/>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row>
    <row r="153" spans="1:38" x14ac:dyDescent="0.3">
      <c r="A153" s="3"/>
      <c r="B153" s="2"/>
      <c r="C153" s="3"/>
      <c r="D153" s="2"/>
      <c r="E153" s="3"/>
      <c r="F153" s="2"/>
      <c r="G153" s="3"/>
      <c r="H153" s="3"/>
      <c r="I153" s="3"/>
      <c r="J153" s="3"/>
      <c r="K153" s="2"/>
      <c r="L153" s="2"/>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row>
    <row r="154" spans="1:38" x14ac:dyDescent="0.3">
      <c r="A154" s="3"/>
      <c r="B154" s="2"/>
      <c r="C154" s="3"/>
      <c r="D154" s="2"/>
      <c r="E154" s="3"/>
      <c r="F154" s="2"/>
      <c r="G154" s="3"/>
      <c r="H154" s="3"/>
      <c r="I154" s="3"/>
      <c r="J154" s="3"/>
      <c r="K154" s="2"/>
      <c r="L154" s="2"/>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row>
    <row r="155" spans="1:38" x14ac:dyDescent="0.3">
      <c r="A155" s="3"/>
      <c r="B155" s="2"/>
      <c r="C155" s="3"/>
      <c r="D155" s="2"/>
      <c r="E155" s="3"/>
      <c r="F155" s="2"/>
      <c r="G155" s="3"/>
      <c r="H155" s="3"/>
      <c r="I155" s="3"/>
      <c r="J155" s="3"/>
      <c r="K155" s="2"/>
      <c r="L155" s="2"/>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row>
    <row r="156" spans="1:38" x14ac:dyDescent="0.3">
      <c r="A156" s="3"/>
      <c r="B156" s="2"/>
      <c r="C156" s="3"/>
      <c r="D156" s="2"/>
      <c r="E156" s="3"/>
      <c r="F156" s="2"/>
      <c r="G156" s="3"/>
      <c r="H156" s="3"/>
      <c r="I156" s="3"/>
      <c r="J156" s="3"/>
      <c r="K156" s="2"/>
      <c r="L156" s="2"/>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row>
    <row r="157" spans="1:38" x14ac:dyDescent="0.3">
      <c r="A157" s="3"/>
      <c r="B157" s="2"/>
      <c r="C157" s="3"/>
      <c r="D157" s="2"/>
      <c r="E157" s="3"/>
      <c r="F157" s="2"/>
      <c r="G157" s="3"/>
      <c r="H157" s="3"/>
      <c r="I157" s="3"/>
      <c r="J157" s="3"/>
      <c r="K157" s="2"/>
      <c r="L157" s="2"/>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row>
    <row r="158" spans="1:38" x14ac:dyDescent="0.3">
      <c r="A158" s="3"/>
      <c r="B158" s="2"/>
      <c r="C158" s="3"/>
      <c r="D158" s="2"/>
      <c r="E158" s="3"/>
      <c r="F158" s="2"/>
      <c r="G158" s="3"/>
      <c r="H158" s="3"/>
      <c r="I158" s="3"/>
      <c r="J158" s="3"/>
      <c r="K158" s="2"/>
      <c r="L158" s="2"/>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row>
    <row r="159" spans="1:38" x14ac:dyDescent="0.3">
      <c r="A159" s="3"/>
      <c r="B159" s="2"/>
      <c r="C159" s="3"/>
      <c r="D159" s="2"/>
      <c r="E159" s="3"/>
      <c r="F159" s="2"/>
      <c r="G159" s="3"/>
      <c r="H159" s="3"/>
      <c r="I159" s="3"/>
      <c r="J159" s="3"/>
      <c r="K159" s="2"/>
      <c r="L159" s="2"/>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row>
    <row r="160" spans="1:38" x14ac:dyDescent="0.3">
      <c r="A160" s="3"/>
      <c r="B160" s="2"/>
      <c r="C160" s="3"/>
      <c r="D160" s="2"/>
      <c r="E160" s="3"/>
      <c r="F160" s="2"/>
      <c r="G160" s="3"/>
      <c r="H160" s="3"/>
      <c r="I160" s="3"/>
      <c r="J160" s="3"/>
      <c r="K160" s="2"/>
      <c r="L160" s="2"/>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row>
    <row r="161" spans="1:38" x14ac:dyDescent="0.3">
      <c r="A161" s="3"/>
      <c r="B161" s="2"/>
      <c r="C161" s="3"/>
      <c r="D161" s="2"/>
      <c r="E161" s="3"/>
      <c r="F161" s="2"/>
      <c r="G161" s="3"/>
      <c r="H161" s="3"/>
      <c r="I161" s="3"/>
      <c r="J161" s="3"/>
      <c r="K161" s="2"/>
      <c r="L161" s="2"/>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row>
    <row r="162" spans="1:38" x14ac:dyDescent="0.3">
      <c r="A162" s="3"/>
      <c r="B162" s="2"/>
      <c r="C162" s="3"/>
      <c r="D162" s="2"/>
      <c r="E162" s="3"/>
      <c r="F162" s="2"/>
      <c r="G162" s="3"/>
      <c r="H162" s="3"/>
      <c r="I162" s="3"/>
      <c r="J162" s="3"/>
      <c r="K162" s="2"/>
      <c r="L162" s="2"/>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row>
    <row r="163" spans="1:38" x14ac:dyDescent="0.3">
      <c r="A163" s="3"/>
      <c r="B163" s="2"/>
      <c r="C163" s="3"/>
      <c r="D163" s="2"/>
      <c r="E163" s="3"/>
      <c r="F163" s="2"/>
      <c r="G163" s="3"/>
      <c r="H163" s="3"/>
      <c r="I163" s="3"/>
      <c r="J163" s="3"/>
      <c r="K163" s="2"/>
      <c r="L163" s="2"/>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row>
    <row r="164" spans="1:38" x14ac:dyDescent="0.3">
      <c r="A164" s="3"/>
      <c r="B164" s="2"/>
      <c r="C164" s="3"/>
      <c r="D164" s="2"/>
      <c r="E164" s="3"/>
      <c r="F164" s="2"/>
      <c r="G164" s="3"/>
      <c r="H164" s="3"/>
      <c r="I164" s="3"/>
      <c r="J164" s="3"/>
      <c r="K164" s="2"/>
      <c r="L164" s="2"/>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row>
    <row r="165" spans="1:38" x14ac:dyDescent="0.3">
      <c r="A165" s="3"/>
      <c r="B165" s="2"/>
      <c r="C165" s="3"/>
      <c r="D165" s="2"/>
      <c r="E165" s="3"/>
      <c r="F165" s="2"/>
      <c r="G165" s="3"/>
      <c r="H165" s="3"/>
      <c r="I165" s="3"/>
      <c r="J165" s="3"/>
      <c r="K165" s="2"/>
      <c r="L165" s="2"/>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row>
    <row r="166" spans="1:38" x14ac:dyDescent="0.3">
      <c r="A166" s="3"/>
      <c r="B166" s="2"/>
      <c r="C166" s="3"/>
      <c r="D166" s="2"/>
      <c r="E166" s="3"/>
      <c r="F166" s="2"/>
      <c r="G166" s="3"/>
      <c r="H166" s="3"/>
      <c r="I166" s="3"/>
      <c r="J166" s="3"/>
      <c r="K166" s="2"/>
      <c r="L166" s="2"/>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row>
    <row r="167" spans="1:38" x14ac:dyDescent="0.3">
      <c r="A167" s="3"/>
      <c r="B167" s="2"/>
      <c r="C167" s="3"/>
      <c r="D167" s="2"/>
      <c r="E167" s="3"/>
      <c r="F167" s="2"/>
      <c r="G167" s="3"/>
      <c r="H167" s="3"/>
      <c r="I167" s="3"/>
      <c r="J167" s="3"/>
      <c r="K167" s="2"/>
      <c r="L167" s="2"/>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row>
    <row r="168" spans="1:38" x14ac:dyDescent="0.3">
      <c r="A168" s="3"/>
      <c r="B168" s="2"/>
      <c r="C168" s="3"/>
      <c r="D168" s="2"/>
      <c r="E168" s="3"/>
      <c r="F168" s="2"/>
      <c r="G168" s="3"/>
      <c r="H168" s="3"/>
      <c r="I168" s="3"/>
      <c r="J168" s="3"/>
      <c r="K168" s="2"/>
      <c r="L168" s="2"/>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row>
    <row r="169" spans="1:38" x14ac:dyDescent="0.3">
      <c r="A169" s="3"/>
      <c r="B169" s="2"/>
      <c r="C169" s="3"/>
      <c r="D169" s="2"/>
      <c r="E169" s="3"/>
      <c r="F169" s="2"/>
      <c r="G169" s="3"/>
      <c r="H169" s="3"/>
      <c r="I169" s="3"/>
      <c r="J169" s="3"/>
      <c r="K169" s="2"/>
      <c r="L169" s="2"/>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row>
    <row r="170" spans="1:38" x14ac:dyDescent="0.3">
      <c r="A170" s="3"/>
      <c r="B170" s="2"/>
      <c r="C170" s="3"/>
      <c r="D170" s="2"/>
      <c r="E170" s="3"/>
      <c r="F170" s="2"/>
      <c r="G170" s="3"/>
      <c r="H170" s="3"/>
      <c r="I170" s="3"/>
      <c r="J170" s="3"/>
      <c r="K170" s="2"/>
      <c r="L170" s="2"/>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row>
    <row r="171" spans="1:38" x14ac:dyDescent="0.3">
      <c r="A171" s="3"/>
      <c r="B171" s="2"/>
      <c r="C171" s="3"/>
      <c r="D171" s="2"/>
      <c r="E171" s="3"/>
      <c r="F171" s="2"/>
      <c r="G171" s="3"/>
      <c r="H171" s="3"/>
      <c r="I171" s="3"/>
      <c r="J171" s="3"/>
      <c r="K171" s="2"/>
      <c r="L171" s="2"/>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row>
    <row r="172" spans="1:38" x14ac:dyDescent="0.3">
      <c r="A172" s="3"/>
      <c r="B172" s="2"/>
      <c r="C172" s="3"/>
      <c r="D172" s="2"/>
      <c r="E172" s="3"/>
      <c r="F172" s="2"/>
      <c r="G172" s="3"/>
      <c r="H172" s="3"/>
      <c r="I172" s="3"/>
      <c r="J172" s="3"/>
      <c r="K172" s="2"/>
      <c r="L172" s="2"/>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row>
    <row r="173" spans="1:38" x14ac:dyDescent="0.3">
      <c r="A173" s="3"/>
      <c r="B173" s="2"/>
      <c r="C173" s="3"/>
      <c r="D173" s="2"/>
      <c r="E173" s="3"/>
      <c r="F173" s="2"/>
      <c r="G173" s="3"/>
      <c r="H173" s="3"/>
      <c r="I173" s="3"/>
      <c r="J173" s="3"/>
      <c r="K173" s="2"/>
      <c r="L173" s="2"/>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row>
    <row r="174" spans="1:38" x14ac:dyDescent="0.3">
      <c r="A174" s="3"/>
      <c r="B174" s="2"/>
      <c r="C174" s="3"/>
      <c r="D174" s="2"/>
      <c r="E174" s="3"/>
      <c r="F174" s="2"/>
      <c r="G174" s="3"/>
      <c r="H174" s="3"/>
      <c r="I174" s="3"/>
      <c r="J174" s="3"/>
      <c r="K174" s="2"/>
      <c r="L174" s="2"/>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row>
    <row r="175" spans="1:38" x14ac:dyDescent="0.3">
      <c r="A175" s="3"/>
      <c r="B175" s="2"/>
      <c r="C175" s="3"/>
      <c r="D175" s="2"/>
      <c r="E175" s="3"/>
      <c r="F175" s="2"/>
      <c r="G175" s="3"/>
      <c r="H175" s="3"/>
      <c r="I175" s="3"/>
      <c r="J175" s="3"/>
      <c r="K175" s="2"/>
      <c r="L175" s="2"/>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row>
    <row r="176" spans="1:38" x14ac:dyDescent="0.3">
      <c r="A176" s="3"/>
      <c r="B176" s="2"/>
      <c r="C176" s="3"/>
      <c r="D176" s="2"/>
      <c r="E176" s="3"/>
      <c r="F176" s="2"/>
      <c r="G176" s="3"/>
      <c r="H176" s="3"/>
      <c r="I176" s="3"/>
      <c r="J176" s="3"/>
      <c r="K176" s="2"/>
      <c r="L176" s="2"/>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row>
    <row r="177" spans="1:38" x14ac:dyDescent="0.3">
      <c r="A177" s="3"/>
      <c r="B177" s="2"/>
      <c r="C177" s="3"/>
      <c r="D177" s="2"/>
      <c r="E177" s="3"/>
      <c r="F177" s="2"/>
      <c r="G177" s="3"/>
      <c r="H177" s="3"/>
      <c r="I177" s="3"/>
      <c r="J177" s="3"/>
      <c r="K177" s="2"/>
      <c r="L177" s="2"/>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row>
    <row r="178" spans="1:38" x14ac:dyDescent="0.3">
      <c r="A178" s="3"/>
      <c r="B178" s="2"/>
      <c r="C178" s="3"/>
      <c r="D178" s="2"/>
      <c r="E178" s="3"/>
      <c r="F178" s="2"/>
      <c r="G178" s="3"/>
      <c r="H178" s="3"/>
      <c r="I178" s="3"/>
      <c r="J178" s="3"/>
      <c r="K178" s="2"/>
      <c r="L178" s="2"/>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row>
    <row r="179" spans="1:38" x14ac:dyDescent="0.3">
      <c r="A179" s="3"/>
      <c r="B179" s="2"/>
      <c r="C179" s="3"/>
      <c r="D179" s="2"/>
      <c r="E179" s="3"/>
      <c r="F179" s="2"/>
      <c r="G179" s="3"/>
      <c r="H179" s="3"/>
      <c r="I179" s="3"/>
      <c r="J179" s="3"/>
      <c r="K179" s="2"/>
      <c r="L179" s="2"/>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row>
    <row r="180" spans="1:38" x14ac:dyDescent="0.3">
      <c r="A180" s="3"/>
      <c r="B180" s="2"/>
      <c r="C180" s="3"/>
      <c r="D180" s="2"/>
      <c r="E180" s="3"/>
      <c r="F180" s="2"/>
      <c r="G180" s="3"/>
      <c r="H180" s="3"/>
      <c r="I180" s="3"/>
      <c r="J180" s="3"/>
      <c r="K180" s="2"/>
      <c r="L180" s="2"/>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row>
    <row r="181" spans="1:38" x14ac:dyDescent="0.3">
      <c r="A181" s="3"/>
      <c r="B181" s="2"/>
      <c r="C181" s="3"/>
      <c r="D181" s="2"/>
      <c r="E181" s="3"/>
      <c r="F181" s="2"/>
      <c r="G181" s="3"/>
      <c r="H181" s="3"/>
      <c r="I181" s="3"/>
      <c r="J181" s="3"/>
      <c r="K181" s="2"/>
      <c r="L181" s="2"/>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row>
    <row r="182" spans="1:38" x14ac:dyDescent="0.3">
      <c r="A182" s="3"/>
      <c r="B182" s="2"/>
      <c r="C182" s="3"/>
      <c r="D182" s="2"/>
      <c r="E182" s="3"/>
      <c r="F182" s="2"/>
      <c r="G182" s="3"/>
      <c r="H182" s="3"/>
      <c r="I182" s="3"/>
      <c r="J182" s="3"/>
      <c r="K182" s="2"/>
      <c r="L182" s="2"/>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row>
    <row r="183" spans="1:38" x14ac:dyDescent="0.3">
      <c r="A183" s="3"/>
      <c r="B183" s="2"/>
      <c r="C183" s="3"/>
      <c r="D183" s="2"/>
      <c r="E183" s="3"/>
      <c r="F183" s="2"/>
      <c r="G183" s="3"/>
      <c r="H183" s="3"/>
      <c r="I183" s="3"/>
      <c r="J183" s="3"/>
      <c r="K183" s="2"/>
      <c r="L183" s="2"/>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row>
    <row r="184" spans="1:38" x14ac:dyDescent="0.3">
      <c r="A184" s="3"/>
      <c r="B184" s="2"/>
      <c r="C184" s="3"/>
      <c r="D184" s="2"/>
      <c r="E184" s="3"/>
      <c r="F184" s="2"/>
      <c r="G184" s="3"/>
      <c r="H184" s="3"/>
      <c r="I184" s="3"/>
      <c r="J184" s="3"/>
      <c r="K184" s="2"/>
      <c r="L184" s="2"/>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row>
    <row r="185" spans="1:38" x14ac:dyDescent="0.3">
      <c r="A185" s="3"/>
      <c r="B185" s="2"/>
      <c r="C185" s="3"/>
      <c r="D185" s="2"/>
      <c r="E185" s="3"/>
      <c r="F185" s="2"/>
      <c r="G185" s="3"/>
      <c r="H185" s="3"/>
      <c r="I185" s="3"/>
      <c r="J185" s="3"/>
      <c r="K185" s="2"/>
      <c r="L185" s="2"/>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row>
    <row r="186" spans="1:38" x14ac:dyDescent="0.3">
      <c r="A186" s="3"/>
      <c r="B186" s="2"/>
      <c r="C186" s="3"/>
      <c r="D186" s="2"/>
      <c r="E186" s="3"/>
      <c r="F186" s="2"/>
      <c r="G186" s="3"/>
      <c r="H186" s="3"/>
      <c r="I186" s="3"/>
      <c r="J186" s="3"/>
      <c r="K186" s="2"/>
      <c r="L186" s="2"/>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row>
    <row r="187" spans="1:38" x14ac:dyDescent="0.3">
      <c r="A187" s="3"/>
      <c r="B187" s="2"/>
      <c r="C187" s="3"/>
      <c r="D187" s="2"/>
      <c r="E187" s="3"/>
      <c r="F187" s="2"/>
      <c r="G187" s="3"/>
      <c r="H187" s="3"/>
      <c r="I187" s="3"/>
      <c r="J187" s="3"/>
      <c r="K187" s="2"/>
      <c r="L187" s="2"/>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row>
    <row r="188" spans="1:38" x14ac:dyDescent="0.3">
      <c r="A188" s="3"/>
      <c r="B188" s="2"/>
      <c r="C188" s="3"/>
      <c r="D188" s="2"/>
      <c r="E188" s="3"/>
      <c r="F188" s="2"/>
      <c r="G188" s="3"/>
      <c r="H188" s="3"/>
      <c r="I188" s="3"/>
      <c r="J188" s="3"/>
      <c r="K188" s="2"/>
      <c r="L188" s="2"/>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row>
    <row r="189" spans="1:38" x14ac:dyDescent="0.3">
      <c r="A189" s="3"/>
      <c r="B189" s="2"/>
      <c r="C189" s="3"/>
      <c r="D189" s="2"/>
      <c r="E189" s="3"/>
      <c r="F189" s="2"/>
      <c r="G189" s="3"/>
      <c r="H189" s="3"/>
      <c r="I189" s="3"/>
      <c r="J189" s="3"/>
      <c r="K189" s="2"/>
      <c r="L189" s="2"/>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row>
    <row r="190" spans="1:38" x14ac:dyDescent="0.3">
      <c r="A190" s="3"/>
      <c r="B190" s="2"/>
      <c r="C190" s="3"/>
      <c r="D190" s="2"/>
      <c r="E190" s="3"/>
      <c r="F190" s="2"/>
      <c r="G190" s="3"/>
      <c r="H190" s="3"/>
      <c r="I190" s="3"/>
      <c r="J190" s="3"/>
      <c r="K190" s="2"/>
      <c r="L190" s="2"/>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row>
    <row r="191" spans="1:38" x14ac:dyDescent="0.3">
      <c r="A191" s="3"/>
      <c r="B191" s="2"/>
      <c r="C191" s="3"/>
      <c r="D191" s="2"/>
      <c r="E191" s="3"/>
      <c r="F191" s="2"/>
      <c r="G191" s="3"/>
      <c r="H191" s="3"/>
      <c r="I191" s="3"/>
      <c r="J191" s="3"/>
      <c r="K191" s="2"/>
      <c r="L191" s="2"/>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row>
    <row r="192" spans="1:38" x14ac:dyDescent="0.3">
      <c r="A192" s="3"/>
      <c r="B192" s="2"/>
      <c r="C192" s="3"/>
      <c r="D192" s="2"/>
      <c r="E192" s="3"/>
      <c r="F192" s="2"/>
      <c r="G192" s="3"/>
      <c r="H192" s="3"/>
      <c r="I192" s="3"/>
      <c r="J192" s="3"/>
      <c r="K192" s="2"/>
      <c r="L192" s="2"/>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row>
    <row r="193" spans="1:38" x14ac:dyDescent="0.3">
      <c r="A193" s="3"/>
      <c r="B193" s="2"/>
      <c r="C193" s="3"/>
      <c r="D193" s="2"/>
      <c r="E193" s="3"/>
      <c r="F193" s="2"/>
      <c r="G193" s="3"/>
      <c r="H193" s="3"/>
      <c r="I193" s="3"/>
      <c r="J193" s="3"/>
      <c r="K193" s="2"/>
      <c r="L193" s="2"/>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row>
    <row r="194" spans="1:38" x14ac:dyDescent="0.3">
      <c r="A194" s="3"/>
      <c r="B194" s="2"/>
      <c r="C194" s="3"/>
      <c r="D194" s="2"/>
      <c r="E194" s="3"/>
      <c r="F194" s="2"/>
      <c r="G194" s="3"/>
      <c r="H194" s="3"/>
      <c r="I194" s="3"/>
      <c r="J194" s="3"/>
      <c r="K194" s="2"/>
      <c r="L194" s="2"/>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row>
    <row r="195" spans="1:38" x14ac:dyDescent="0.3">
      <c r="A195" s="3"/>
      <c r="B195" s="2"/>
      <c r="C195" s="3"/>
      <c r="D195" s="2"/>
      <c r="E195" s="3"/>
      <c r="F195" s="2"/>
      <c r="G195" s="3"/>
      <c r="H195" s="3"/>
      <c r="I195" s="3"/>
      <c r="J195" s="3"/>
      <c r="K195" s="2"/>
      <c r="L195" s="2"/>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row>
    <row r="196" spans="1:38" x14ac:dyDescent="0.3">
      <c r="A196" s="3"/>
      <c r="B196" s="2"/>
      <c r="C196" s="3"/>
      <c r="D196" s="2"/>
      <c r="E196" s="3"/>
      <c r="F196" s="2"/>
      <c r="G196" s="3"/>
      <c r="H196" s="3"/>
      <c r="I196" s="3"/>
      <c r="J196" s="3"/>
      <c r="K196" s="2"/>
      <c r="L196" s="2"/>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row>
    <row r="197" spans="1:38" x14ac:dyDescent="0.3">
      <c r="A197" s="3"/>
      <c r="B197" s="2"/>
      <c r="C197" s="3"/>
      <c r="D197" s="2"/>
      <c r="E197" s="3"/>
      <c r="F197" s="2"/>
      <c r="G197" s="3"/>
      <c r="H197" s="3"/>
      <c r="I197" s="3"/>
      <c r="J197" s="3"/>
      <c r="K197" s="2"/>
      <c r="L197" s="2"/>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row>
    <row r="198" spans="1:38" x14ac:dyDescent="0.3">
      <c r="A198" s="3"/>
      <c r="B198" s="2"/>
      <c r="C198" s="3"/>
      <c r="D198" s="2"/>
      <c r="E198" s="3"/>
      <c r="F198" s="2"/>
      <c r="G198" s="3"/>
      <c r="H198" s="3"/>
      <c r="I198" s="3"/>
      <c r="J198" s="3"/>
      <c r="K198" s="2"/>
      <c r="L198" s="2"/>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row>
    <row r="199" spans="1:38" x14ac:dyDescent="0.3">
      <c r="A199" s="3"/>
      <c r="B199" s="2"/>
      <c r="C199" s="3"/>
      <c r="D199" s="2"/>
      <c r="E199" s="3"/>
      <c r="F199" s="2"/>
      <c r="G199" s="3"/>
      <c r="H199" s="3"/>
      <c r="I199" s="3"/>
      <c r="J199" s="3"/>
      <c r="K199" s="2"/>
      <c r="L199" s="2"/>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row>
    <row r="200" spans="1:38" x14ac:dyDescent="0.3">
      <c r="A200" s="3"/>
      <c r="B200" s="2"/>
      <c r="C200" s="3"/>
      <c r="D200" s="2"/>
      <c r="E200" s="3"/>
      <c r="F200" s="2"/>
      <c r="G200" s="3"/>
      <c r="H200" s="3"/>
      <c r="I200" s="3"/>
      <c r="J200" s="3"/>
      <c r="K200" s="2"/>
      <c r="L200" s="2"/>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row>
    <row r="201" spans="1:38" x14ac:dyDescent="0.3">
      <c r="A201" s="3"/>
      <c r="B201" s="2"/>
      <c r="C201" s="3"/>
      <c r="D201" s="2"/>
      <c r="E201" s="3"/>
      <c r="F201" s="2"/>
      <c r="G201" s="3"/>
      <c r="H201" s="3"/>
      <c r="I201" s="3"/>
      <c r="J201" s="3"/>
      <c r="K201" s="2"/>
      <c r="L201" s="2"/>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row>
    <row r="202" spans="1:38" x14ac:dyDescent="0.3">
      <c r="A202" s="3"/>
      <c r="B202" s="2"/>
      <c r="C202" s="3"/>
      <c r="D202" s="2"/>
      <c r="E202" s="3"/>
      <c r="F202" s="2"/>
      <c r="G202" s="3"/>
      <c r="H202" s="3"/>
      <c r="I202" s="3"/>
      <c r="J202" s="3"/>
      <c r="K202" s="2"/>
      <c r="L202" s="2"/>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row>
    <row r="203" spans="1:38" x14ac:dyDescent="0.3">
      <c r="A203" s="3"/>
      <c r="B203" s="2"/>
      <c r="C203" s="3"/>
      <c r="D203" s="2"/>
      <c r="E203" s="3"/>
      <c r="F203" s="2"/>
      <c r="G203" s="3"/>
      <c r="H203" s="3"/>
      <c r="I203" s="3"/>
      <c r="J203" s="3"/>
      <c r="K203" s="2"/>
      <c r="L203" s="2"/>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row>
    <row r="204" spans="1:38" x14ac:dyDescent="0.3">
      <c r="A204" s="3"/>
      <c r="B204" s="2"/>
      <c r="C204" s="3"/>
      <c r="D204" s="2"/>
      <c r="E204" s="3"/>
      <c r="F204" s="2"/>
      <c r="G204" s="3"/>
      <c r="H204" s="3"/>
      <c r="I204" s="3"/>
      <c r="J204" s="3"/>
      <c r="K204" s="2"/>
      <c r="L204" s="2"/>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row>
    <row r="205" spans="1:38" x14ac:dyDescent="0.3">
      <c r="A205" s="3"/>
      <c r="B205" s="2"/>
      <c r="C205" s="3"/>
      <c r="D205" s="2"/>
      <c r="E205" s="3"/>
      <c r="F205" s="2"/>
      <c r="G205" s="3"/>
      <c r="H205" s="3"/>
      <c r="I205" s="3"/>
      <c r="J205" s="3"/>
      <c r="K205" s="2"/>
      <c r="L205" s="2"/>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row>
    <row r="206" spans="1:38" x14ac:dyDescent="0.3">
      <c r="A206" s="3"/>
      <c r="B206" s="2"/>
      <c r="C206" s="3"/>
      <c r="D206" s="2"/>
      <c r="E206" s="3"/>
      <c r="F206" s="2"/>
      <c r="G206" s="3"/>
      <c r="H206" s="3"/>
      <c r="I206" s="3"/>
      <c r="J206" s="3"/>
      <c r="K206" s="2"/>
      <c r="L206" s="2"/>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row>
    <row r="207" spans="1:38" x14ac:dyDescent="0.3">
      <c r="A207" s="3"/>
      <c r="B207" s="2"/>
      <c r="C207" s="3"/>
      <c r="D207" s="2"/>
      <c r="E207" s="3"/>
      <c r="F207" s="2"/>
      <c r="G207" s="3"/>
      <c r="H207" s="3"/>
      <c r="I207" s="3"/>
      <c r="J207" s="3"/>
      <c r="K207" s="2"/>
      <c r="L207" s="2"/>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row>
    <row r="208" spans="1:38" x14ac:dyDescent="0.3">
      <c r="A208" s="3"/>
      <c r="B208" s="2"/>
      <c r="C208" s="3"/>
      <c r="D208" s="2"/>
      <c r="E208" s="3"/>
      <c r="F208" s="2"/>
      <c r="G208" s="3"/>
      <c r="H208" s="3"/>
      <c r="I208" s="3"/>
      <c r="J208" s="3"/>
      <c r="K208" s="2"/>
      <c r="L208" s="2"/>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row>
    <row r="209" spans="1:38" x14ac:dyDescent="0.3">
      <c r="A209" s="3"/>
      <c r="B209" s="2"/>
      <c r="C209" s="3"/>
      <c r="D209" s="2"/>
      <c r="E209" s="3"/>
      <c r="F209" s="2"/>
      <c r="G209" s="3"/>
      <c r="H209" s="3"/>
      <c r="I209" s="3"/>
      <c r="J209" s="3"/>
      <c r="K209" s="2"/>
      <c r="L209" s="2"/>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row>
    <row r="210" spans="1:38" x14ac:dyDescent="0.3">
      <c r="A210" s="3"/>
      <c r="B210" s="2"/>
      <c r="C210" s="3"/>
      <c r="D210" s="2"/>
      <c r="E210" s="3"/>
      <c r="F210" s="2"/>
      <c r="G210" s="3"/>
      <c r="H210" s="3"/>
      <c r="I210" s="3"/>
      <c r="J210" s="3"/>
      <c r="K210" s="2"/>
      <c r="L210" s="2"/>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row>
    <row r="211" spans="1:38" x14ac:dyDescent="0.3">
      <c r="A211" s="3"/>
      <c r="B211" s="2"/>
      <c r="C211" s="3"/>
      <c r="D211" s="2"/>
      <c r="E211" s="3"/>
      <c r="F211" s="2"/>
      <c r="G211" s="3"/>
      <c r="H211" s="3"/>
      <c r="I211" s="3"/>
      <c r="J211" s="3"/>
      <c r="K211" s="2"/>
      <c r="L211" s="2"/>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row>
    <row r="212" spans="1:38" x14ac:dyDescent="0.3">
      <c r="A212" s="3"/>
      <c r="B212" s="2"/>
      <c r="C212" s="3"/>
      <c r="D212" s="2"/>
      <c r="E212" s="3"/>
      <c r="F212" s="2"/>
      <c r="G212" s="3"/>
      <c r="H212" s="3"/>
      <c r="I212" s="3"/>
      <c r="J212" s="3"/>
      <c r="K212" s="2"/>
      <c r="L212" s="2"/>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row>
    <row r="213" spans="1:38" x14ac:dyDescent="0.3">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row>
    <row r="214" spans="1:38" x14ac:dyDescent="0.3">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row>
    <row r="215" spans="1:38" x14ac:dyDescent="0.3">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row>
    <row r="216" spans="1:38" x14ac:dyDescent="0.3">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row>
    <row r="217" spans="1:38" x14ac:dyDescent="0.3">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row>
    <row r="218" spans="1:38" x14ac:dyDescent="0.3">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row>
    <row r="219" spans="1:38" x14ac:dyDescent="0.3">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row>
    <row r="220" spans="1:38" x14ac:dyDescent="0.3">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row>
    <row r="221" spans="1:38" x14ac:dyDescent="0.3">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row>
    <row r="222" spans="1:38" x14ac:dyDescent="0.3">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row>
    <row r="223" spans="1:38" x14ac:dyDescent="0.3">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row>
    <row r="224" spans="1:38" x14ac:dyDescent="0.3">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row>
    <row r="225" spans="1:38" x14ac:dyDescent="0.3">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row>
    <row r="226" spans="1:38" x14ac:dyDescent="0.3">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row>
    <row r="227" spans="1:38" x14ac:dyDescent="0.3">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row>
    <row r="228" spans="1:38" x14ac:dyDescent="0.3">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row>
    <row r="229" spans="1:38" x14ac:dyDescent="0.3">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row>
    <row r="230" spans="1:38" x14ac:dyDescent="0.3">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row>
    <row r="231" spans="1:38" x14ac:dyDescent="0.3">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row>
    <row r="232" spans="1:38" x14ac:dyDescent="0.3">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row>
    <row r="233" spans="1:38" x14ac:dyDescent="0.3">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row>
    <row r="234" spans="1:38" x14ac:dyDescent="0.3">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row>
    <row r="235" spans="1:38" x14ac:dyDescent="0.3">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row>
    <row r="236" spans="1:38" x14ac:dyDescent="0.3">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row>
    <row r="237" spans="1:38" x14ac:dyDescent="0.3">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row>
    <row r="238" spans="1:38" x14ac:dyDescent="0.3">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row>
    <row r="239" spans="1:38" x14ac:dyDescent="0.3">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row>
    <row r="240" spans="1:38" x14ac:dyDescent="0.3">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row>
    <row r="241" spans="1:38" x14ac:dyDescent="0.3">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row>
    <row r="242" spans="1:38" x14ac:dyDescent="0.3">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row>
    <row r="243" spans="1:38" x14ac:dyDescent="0.3">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row>
    <row r="244" spans="1:38" x14ac:dyDescent="0.3">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row>
    <row r="245" spans="1:38" x14ac:dyDescent="0.3">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row>
    <row r="246" spans="1:38" x14ac:dyDescent="0.3">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row>
    <row r="247" spans="1:38" x14ac:dyDescent="0.3">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row>
    <row r="248" spans="1:38" x14ac:dyDescent="0.3">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row>
    <row r="249" spans="1:38" x14ac:dyDescent="0.3">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row>
    <row r="250" spans="1:38" x14ac:dyDescent="0.3">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row>
    <row r="251" spans="1:38" x14ac:dyDescent="0.3">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row>
    <row r="252" spans="1:38" x14ac:dyDescent="0.3">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row>
    <row r="253" spans="1:38" x14ac:dyDescent="0.3">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row>
    <row r="254" spans="1:38" x14ac:dyDescent="0.3">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row>
    <row r="255" spans="1:38" x14ac:dyDescent="0.3">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row>
    <row r="256" spans="1:38" x14ac:dyDescent="0.3">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row>
    <row r="257" spans="1:38" x14ac:dyDescent="0.3">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row>
    <row r="258" spans="1:38" x14ac:dyDescent="0.3">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row>
    <row r="259" spans="1:38" x14ac:dyDescent="0.3">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row>
    <row r="260" spans="1:38" x14ac:dyDescent="0.3">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row>
    <row r="261" spans="1:38" x14ac:dyDescent="0.3">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row>
    <row r="262" spans="1:38" x14ac:dyDescent="0.3">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row>
    <row r="263" spans="1:38" x14ac:dyDescent="0.3">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row>
    <row r="264" spans="1:38" x14ac:dyDescent="0.3">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row>
    <row r="265" spans="1:38" x14ac:dyDescent="0.3">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row>
    <row r="266" spans="1:38" x14ac:dyDescent="0.3">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row>
    <row r="267" spans="1:38" x14ac:dyDescent="0.3">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row>
    <row r="268" spans="1:38" x14ac:dyDescent="0.3">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row>
    <row r="269" spans="1:38" x14ac:dyDescent="0.3">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row>
    <row r="270" spans="1:38" x14ac:dyDescent="0.3">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row>
    <row r="271" spans="1:38" x14ac:dyDescent="0.3">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row>
    <row r="272" spans="1:38" x14ac:dyDescent="0.3">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row>
    <row r="273" spans="1:38" x14ac:dyDescent="0.3">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row>
    <row r="274" spans="1:38" x14ac:dyDescent="0.3">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row>
    <row r="275" spans="1:38" x14ac:dyDescent="0.3">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row>
    <row r="276" spans="1:38" x14ac:dyDescent="0.3">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row>
    <row r="277" spans="1:38" x14ac:dyDescent="0.3">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row>
    <row r="278" spans="1:38" x14ac:dyDescent="0.3">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row>
    <row r="279" spans="1:38" x14ac:dyDescent="0.3">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row>
    <row r="280" spans="1:38" x14ac:dyDescent="0.3">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row>
    <row r="281" spans="1:38" x14ac:dyDescent="0.3">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row>
    <row r="282" spans="1:38" x14ac:dyDescent="0.3">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row>
    <row r="283" spans="1:38" x14ac:dyDescent="0.3">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row>
    <row r="284" spans="1:38" x14ac:dyDescent="0.3">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row>
    <row r="285" spans="1:38" x14ac:dyDescent="0.3">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row>
    <row r="286" spans="1:38" x14ac:dyDescent="0.3">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row>
    <row r="287" spans="1:38" x14ac:dyDescent="0.3">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row>
    <row r="288" spans="1:38" x14ac:dyDescent="0.3">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row>
    <row r="289" spans="1:38" x14ac:dyDescent="0.3">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row>
    <row r="290" spans="1:38" x14ac:dyDescent="0.3">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row>
    <row r="291" spans="1:38" x14ac:dyDescent="0.3">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row>
    <row r="292" spans="1:38" x14ac:dyDescent="0.3">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row>
    <row r="293" spans="1:38" x14ac:dyDescent="0.3">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row>
    <row r="294" spans="1:38" x14ac:dyDescent="0.3">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row>
    <row r="295" spans="1:38" x14ac:dyDescent="0.3">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row>
    <row r="296" spans="1:38" x14ac:dyDescent="0.3">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row>
    <row r="297" spans="1:38" x14ac:dyDescent="0.3">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row>
    <row r="298" spans="1:38" x14ac:dyDescent="0.3">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row>
    <row r="299" spans="1:38" x14ac:dyDescent="0.3">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row>
    <row r="300" spans="1:38" x14ac:dyDescent="0.3">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row>
    <row r="301" spans="1:38" x14ac:dyDescent="0.3">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row>
    <row r="302" spans="1:38" x14ac:dyDescent="0.3">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row>
    <row r="303" spans="1:38" x14ac:dyDescent="0.3">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row>
    <row r="304" spans="1:38" x14ac:dyDescent="0.3">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row>
    <row r="305" spans="1:38" x14ac:dyDescent="0.3">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row>
    <row r="306" spans="1:38" x14ac:dyDescent="0.3">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row>
    <row r="307" spans="1:38" x14ac:dyDescent="0.3">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row>
    <row r="308" spans="1:38" x14ac:dyDescent="0.3">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row>
    <row r="309" spans="1:38" x14ac:dyDescent="0.3">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row>
    <row r="310" spans="1:38" x14ac:dyDescent="0.3">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row>
    <row r="311" spans="1:38" x14ac:dyDescent="0.3">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row>
    <row r="312" spans="1:38" x14ac:dyDescent="0.3">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row>
    <row r="313" spans="1:38" x14ac:dyDescent="0.3">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row>
    <row r="314" spans="1:38" x14ac:dyDescent="0.3">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row>
    <row r="315" spans="1:38" x14ac:dyDescent="0.3">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row>
    <row r="316" spans="1:38" x14ac:dyDescent="0.3">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row>
    <row r="317" spans="1:38" x14ac:dyDescent="0.3">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row>
    <row r="318" spans="1:38" x14ac:dyDescent="0.3">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row>
    <row r="319" spans="1:38" x14ac:dyDescent="0.3">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row>
    <row r="320" spans="1:38" x14ac:dyDescent="0.3">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row>
    <row r="321" spans="1:38" x14ac:dyDescent="0.3">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row>
    <row r="322" spans="1:38" x14ac:dyDescent="0.3">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row>
    <row r="323" spans="1:38" x14ac:dyDescent="0.3">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row>
    <row r="324" spans="1:38" x14ac:dyDescent="0.3">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row>
    <row r="325" spans="1:38" x14ac:dyDescent="0.3">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row>
    <row r="326" spans="1:38" x14ac:dyDescent="0.3">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row>
    <row r="327" spans="1:38" x14ac:dyDescent="0.3">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row>
    <row r="328" spans="1:38" x14ac:dyDescent="0.3">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row>
    <row r="329" spans="1:38" x14ac:dyDescent="0.3">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row>
    <row r="330" spans="1:38" x14ac:dyDescent="0.3">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row>
    <row r="331" spans="1:38" x14ac:dyDescent="0.3">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row>
    <row r="332" spans="1:38" x14ac:dyDescent="0.3">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row>
    <row r="333" spans="1:38" x14ac:dyDescent="0.3">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row>
    <row r="334" spans="1:38" x14ac:dyDescent="0.3">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row>
    <row r="335" spans="1:38" x14ac:dyDescent="0.3">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row>
    <row r="336" spans="1:38" x14ac:dyDescent="0.3">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row>
    <row r="337" spans="1:38" x14ac:dyDescent="0.3">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row>
    <row r="338" spans="1:38" x14ac:dyDescent="0.3">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row>
    <row r="339" spans="1:38" x14ac:dyDescent="0.3">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row>
    <row r="340" spans="1:38" x14ac:dyDescent="0.3">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row>
    <row r="341" spans="1:38" x14ac:dyDescent="0.3">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row>
    <row r="342" spans="1:38" x14ac:dyDescent="0.3">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row>
    <row r="343" spans="1:38" x14ac:dyDescent="0.3">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row>
    <row r="344" spans="1:38" x14ac:dyDescent="0.3">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row>
    <row r="345" spans="1:38" x14ac:dyDescent="0.3">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row>
    <row r="346" spans="1:38" x14ac:dyDescent="0.3">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row>
    <row r="347" spans="1:38" x14ac:dyDescent="0.3">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row>
    <row r="348" spans="1:38" x14ac:dyDescent="0.3">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row>
    <row r="349" spans="1:38" x14ac:dyDescent="0.3">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row>
    <row r="350" spans="1:38" x14ac:dyDescent="0.3">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row>
    <row r="351" spans="1:38" x14ac:dyDescent="0.3">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row>
    <row r="352" spans="1:38" x14ac:dyDescent="0.3">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row>
    <row r="353" spans="1:38" x14ac:dyDescent="0.3">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row>
    <row r="354" spans="1:38" x14ac:dyDescent="0.3">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row>
    <row r="355" spans="1:38" x14ac:dyDescent="0.3">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row>
    <row r="356" spans="1:38" x14ac:dyDescent="0.3">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row>
    <row r="357" spans="1:38" x14ac:dyDescent="0.3">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row>
    <row r="358" spans="1:38" x14ac:dyDescent="0.3">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row>
    <row r="359" spans="1:38" x14ac:dyDescent="0.3">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row>
    <row r="360" spans="1:38" x14ac:dyDescent="0.3">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row>
    <row r="361" spans="1:38" x14ac:dyDescent="0.3">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row>
    <row r="362" spans="1:38" x14ac:dyDescent="0.3">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row>
    <row r="363" spans="1:38" x14ac:dyDescent="0.3">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row>
    <row r="364" spans="1:38" x14ac:dyDescent="0.3">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row>
    <row r="365" spans="1:38" x14ac:dyDescent="0.3">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row>
    <row r="366" spans="1:38" x14ac:dyDescent="0.3">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row>
    <row r="367" spans="1:38" x14ac:dyDescent="0.3">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row>
    <row r="368" spans="1:38" x14ac:dyDescent="0.3">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row>
    <row r="369" spans="1:38" x14ac:dyDescent="0.3">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row>
    <row r="370" spans="1:38" x14ac:dyDescent="0.3">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row>
    <row r="371" spans="1:38" x14ac:dyDescent="0.3">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row>
    <row r="372" spans="1:38" x14ac:dyDescent="0.3">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row>
    <row r="373" spans="1:38" x14ac:dyDescent="0.3">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row>
    <row r="374" spans="1:38" x14ac:dyDescent="0.3">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row>
    <row r="375" spans="1:38" x14ac:dyDescent="0.3">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row>
    <row r="376" spans="1:38" x14ac:dyDescent="0.3">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row>
    <row r="377" spans="1:38" x14ac:dyDescent="0.3">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row>
    <row r="378" spans="1:38" x14ac:dyDescent="0.3">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row>
    <row r="379" spans="1:38" x14ac:dyDescent="0.3">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row>
    <row r="380" spans="1:38" x14ac:dyDescent="0.3">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row>
    <row r="381" spans="1:38" x14ac:dyDescent="0.3">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row>
    <row r="382" spans="1:38" x14ac:dyDescent="0.3">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row>
    <row r="383" spans="1:38" x14ac:dyDescent="0.3">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row>
    <row r="384" spans="1:38" x14ac:dyDescent="0.3">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row>
    <row r="385" spans="1:38" x14ac:dyDescent="0.3">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row>
    <row r="386" spans="1:38" x14ac:dyDescent="0.3">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row>
    <row r="387" spans="1:38" x14ac:dyDescent="0.3">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row>
    <row r="388" spans="1:38" x14ac:dyDescent="0.3">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row>
    <row r="389" spans="1:38" x14ac:dyDescent="0.3">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row>
    <row r="390" spans="1:38" x14ac:dyDescent="0.3">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row>
    <row r="391" spans="1:38" x14ac:dyDescent="0.3">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row>
    <row r="392" spans="1:38" x14ac:dyDescent="0.3">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row>
    <row r="393" spans="1:38" x14ac:dyDescent="0.3">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row>
    <row r="394" spans="1:38" x14ac:dyDescent="0.3">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row>
    <row r="395" spans="1:38" x14ac:dyDescent="0.3">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row>
    <row r="396" spans="1:38" x14ac:dyDescent="0.3">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row>
    <row r="397" spans="1:38" x14ac:dyDescent="0.3">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row>
    <row r="398" spans="1:38" x14ac:dyDescent="0.3">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row>
    <row r="399" spans="1:38" x14ac:dyDescent="0.3">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row>
    <row r="400" spans="1:38" x14ac:dyDescent="0.3">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row>
    <row r="401" spans="1:38" x14ac:dyDescent="0.3">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row>
    <row r="402" spans="1:38" x14ac:dyDescent="0.3">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row>
    <row r="403" spans="1:38" x14ac:dyDescent="0.3">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row>
    <row r="404" spans="1:38" x14ac:dyDescent="0.3">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row>
    <row r="405" spans="1:38" x14ac:dyDescent="0.3">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row>
    <row r="406" spans="1:38" x14ac:dyDescent="0.3">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row>
    <row r="407" spans="1:38" x14ac:dyDescent="0.3">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row>
    <row r="408" spans="1:38" x14ac:dyDescent="0.3">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row>
    <row r="409" spans="1:38" x14ac:dyDescent="0.3">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row>
    <row r="410" spans="1:38" x14ac:dyDescent="0.3">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row>
    <row r="411" spans="1:38" x14ac:dyDescent="0.3">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row>
    <row r="412" spans="1:38" x14ac:dyDescent="0.3">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row>
    <row r="413" spans="1:38" x14ac:dyDescent="0.3">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row>
    <row r="414" spans="1:38" x14ac:dyDescent="0.3">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row>
    <row r="415" spans="1:38" x14ac:dyDescent="0.3">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row>
    <row r="416" spans="1:38" x14ac:dyDescent="0.3">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row>
    <row r="417" spans="1:38" x14ac:dyDescent="0.3">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row>
    <row r="418" spans="1:38" x14ac:dyDescent="0.3">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row>
    <row r="419" spans="1:38" x14ac:dyDescent="0.3">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row>
    <row r="420" spans="1:38" x14ac:dyDescent="0.3">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row>
    <row r="421" spans="1:38" x14ac:dyDescent="0.3">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row>
    <row r="422" spans="1:38" x14ac:dyDescent="0.3">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row>
    <row r="423" spans="1:38" x14ac:dyDescent="0.3">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row>
    <row r="424" spans="1:38" x14ac:dyDescent="0.3">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row>
    <row r="425" spans="1:38" x14ac:dyDescent="0.3">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row>
    <row r="426" spans="1:38" x14ac:dyDescent="0.3">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row>
    <row r="427" spans="1:38" x14ac:dyDescent="0.3">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row>
    <row r="428" spans="1:38" x14ac:dyDescent="0.3">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row>
    <row r="429" spans="1:38" x14ac:dyDescent="0.3">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row>
    <row r="430" spans="1:38" x14ac:dyDescent="0.3">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row>
    <row r="431" spans="1:38" x14ac:dyDescent="0.3">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row>
    <row r="432" spans="1:38" x14ac:dyDescent="0.3">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row>
    <row r="433" spans="1:38" x14ac:dyDescent="0.3">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row>
    <row r="434" spans="1:38" x14ac:dyDescent="0.3">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row>
    <row r="435" spans="1:38" x14ac:dyDescent="0.3">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row>
    <row r="436" spans="1:38" x14ac:dyDescent="0.3">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row>
    <row r="437" spans="1:38" x14ac:dyDescent="0.3">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row>
    <row r="438" spans="1:38" x14ac:dyDescent="0.3">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row>
    <row r="439" spans="1:38" x14ac:dyDescent="0.3">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row>
    <row r="440" spans="1:38" x14ac:dyDescent="0.3">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row>
    <row r="441" spans="1:38" x14ac:dyDescent="0.3">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row>
    <row r="442" spans="1:38" x14ac:dyDescent="0.3">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row>
    <row r="443" spans="1:38" x14ac:dyDescent="0.3">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row>
    <row r="444" spans="1:38" x14ac:dyDescent="0.3">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row>
    <row r="445" spans="1:38" x14ac:dyDescent="0.3">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row>
    <row r="446" spans="1:38" x14ac:dyDescent="0.3">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row>
    <row r="447" spans="1:38" x14ac:dyDescent="0.3">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row>
    <row r="448" spans="1:38" x14ac:dyDescent="0.3">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row>
    <row r="449" spans="1:38" x14ac:dyDescent="0.3">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row>
    <row r="450" spans="1:38" x14ac:dyDescent="0.3">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row>
    <row r="451" spans="1:38" x14ac:dyDescent="0.3">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row>
    <row r="452" spans="1:38" x14ac:dyDescent="0.3">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row>
    <row r="453" spans="1:38" x14ac:dyDescent="0.3">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row>
    <row r="454" spans="1:38" x14ac:dyDescent="0.3">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row>
    <row r="455" spans="1:38" x14ac:dyDescent="0.3">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row>
    <row r="456" spans="1:38" x14ac:dyDescent="0.3">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row>
    <row r="457" spans="1:38" x14ac:dyDescent="0.3">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row>
    <row r="458" spans="1:38" x14ac:dyDescent="0.3">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row>
    <row r="459" spans="1:38" x14ac:dyDescent="0.3">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row>
    <row r="460" spans="1:38" x14ac:dyDescent="0.3">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row>
    <row r="461" spans="1:38" x14ac:dyDescent="0.3">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row>
    <row r="462" spans="1:38" x14ac:dyDescent="0.3">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row>
    <row r="463" spans="1:38" x14ac:dyDescent="0.3">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row>
    <row r="464" spans="1:38" x14ac:dyDescent="0.3">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row>
    <row r="465" spans="1:38" x14ac:dyDescent="0.3">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row>
    <row r="466" spans="1:38" x14ac:dyDescent="0.3">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row>
    <row r="467" spans="1:38" x14ac:dyDescent="0.3">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row>
    <row r="468" spans="1:38" x14ac:dyDescent="0.3">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row>
    <row r="469" spans="1:38" x14ac:dyDescent="0.3">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row>
    <row r="470" spans="1:38" x14ac:dyDescent="0.3">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row>
    <row r="471" spans="1:38" x14ac:dyDescent="0.3">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row>
    <row r="472" spans="1:38" x14ac:dyDescent="0.3">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row>
    <row r="473" spans="1:38" x14ac:dyDescent="0.3">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row>
    <row r="474" spans="1:38" x14ac:dyDescent="0.3">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row>
    <row r="475" spans="1:38" x14ac:dyDescent="0.3">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row>
    <row r="476" spans="1:38" x14ac:dyDescent="0.3">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row>
    <row r="477" spans="1:38" x14ac:dyDescent="0.3">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row>
    <row r="478" spans="1:38" x14ac:dyDescent="0.3">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row>
    <row r="479" spans="1:38" x14ac:dyDescent="0.3">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row>
    <row r="480" spans="1:38" x14ac:dyDescent="0.3">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row>
    <row r="481" spans="1:38" x14ac:dyDescent="0.3">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row>
    <row r="482" spans="1:38" x14ac:dyDescent="0.3">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row>
    <row r="483" spans="1:38" x14ac:dyDescent="0.3">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row>
    <row r="484" spans="1:38" x14ac:dyDescent="0.3">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row>
    <row r="485" spans="1:38" x14ac:dyDescent="0.3">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row>
    <row r="486" spans="1:38" x14ac:dyDescent="0.3">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row>
    <row r="487" spans="1:38" x14ac:dyDescent="0.3">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row>
    <row r="488" spans="1:38" x14ac:dyDescent="0.3">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row>
    <row r="489" spans="1:38" x14ac:dyDescent="0.3">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row>
    <row r="490" spans="1:38" x14ac:dyDescent="0.3">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row>
    <row r="491" spans="1:38" x14ac:dyDescent="0.3">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row>
    <row r="492" spans="1:38" x14ac:dyDescent="0.3">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row>
    <row r="493" spans="1:38" x14ac:dyDescent="0.3">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row>
    <row r="494" spans="1:38" x14ac:dyDescent="0.3">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row>
    <row r="495" spans="1:38" x14ac:dyDescent="0.3">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row>
    <row r="496" spans="1:38" x14ac:dyDescent="0.3">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row>
    <row r="497" spans="1:38" x14ac:dyDescent="0.3">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row>
    <row r="498" spans="1:38" x14ac:dyDescent="0.3">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row>
    <row r="499" spans="1:38" x14ac:dyDescent="0.3">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row>
    <row r="500" spans="1:38" x14ac:dyDescent="0.3">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row>
    <row r="501" spans="1:38" x14ac:dyDescent="0.3">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row>
    <row r="502" spans="1:38" x14ac:dyDescent="0.3">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row>
    <row r="503" spans="1:38" x14ac:dyDescent="0.3">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row>
    <row r="504" spans="1:38" x14ac:dyDescent="0.3">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row>
    <row r="505" spans="1:38" x14ac:dyDescent="0.3">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row>
    <row r="506" spans="1:38" x14ac:dyDescent="0.3">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row>
    <row r="507" spans="1:38" x14ac:dyDescent="0.3">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row>
    <row r="508" spans="1:38" x14ac:dyDescent="0.3">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row>
    <row r="509" spans="1:38" x14ac:dyDescent="0.3">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row>
    <row r="510" spans="1:38" x14ac:dyDescent="0.3">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row>
    <row r="511" spans="1:38" x14ac:dyDescent="0.3">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row>
    <row r="512" spans="1:38" x14ac:dyDescent="0.3">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row>
    <row r="513" spans="1:38" x14ac:dyDescent="0.3">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row>
    <row r="514" spans="1:38" x14ac:dyDescent="0.3">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row>
    <row r="515" spans="1:38" x14ac:dyDescent="0.3">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row>
    <row r="516" spans="1:38" x14ac:dyDescent="0.3">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row>
    <row r="517" spans="1:38" x14ac:dyDescent="0.3">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row>
    <row r="518" spans="1:38" x14ac:dyDescent="0.3">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row>
    <row r="519" spans="1:38" x14ac:dyDescent="0.3">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row>
    <row r="520" spans="1:38" x14ac:dyDescent="0.3">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row>
    <row r="521" spans="1:38" x14ac:dyDescent="0.3">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row>
    <row r="522" spans="1:38" x14ac:dyDescent="0.3">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row>
    <row r="523" spans="1:38" x14ac:dyDescent="0.3">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row>
    <row r="524" spans="1:38" x14ac:dyDescent="0.3">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row>
    <row r="525" spans="1:38" x14ac:dyDescent="0.3">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row>
    <row r="526" spans="1:38" x14ac:dyDescent="0.3">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row>
    <row r="527" spans="1:38" x14ac:dyDescent="0.3">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row>
    <row r="528" spans="1:38" x14ac:dyDescent="0.3">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row>
    <row r="529" spans="1:38" x14ac:dyDescent="0.3">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row>
    <row r="530" spans="1:38" x14ac:dyDescent="0.3">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row>
    <row r="531" spans="1:38" x14ac:dyDescent="0.3">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row>
    <row r="532" spans="1:38" x14ac:dyDescent="0.3">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row>
    <row r="533" spans="1:38" x14ac:dyDescent="0.3">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row>
    <row r="534" spans="1:38" x14ac:dyDescent="0.3">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row>
    <row r="535" spans="1:38" x14ac:dyDescent="0.3">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row>
    <row r="536" spans="1:38" x14ac:dyDescent="0.3">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row>
    <row r="537" spans="1:38" x14ac:dyDescent="0.3">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row>
    <row r="538" spans="1:38" x14ac:dyDescent="0.3">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row>
    <row r="539" spans="1:38" x14ac:dyDescent="0.3">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row>
    <row r="540" spans="1:38" x14ac:dyDescent="0.3">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row>
    <row r="541" spans="1:38" x14ac:dyDescent="0.3">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row>
    <row r="542" spans="1:38" x14ac:dyDescent="0.3">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row>
    <row r="543" spans="1:38" x14ac:dyDescent="0.3">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row>
    <row r="544" spans="1:38" x14ac:dyDescent="0.3">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row>
    <row r="545" spans="1:38" x14ac:dyDescent="0.3">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row>
    <row r="546" spans="1:38" x14ac:dyDescent="0.3">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row>
    <row r="547" spans="1:38" x14ac:dyDescent="0.3">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row>
    <row r="548" spans="1:38" x14ac:dyDescent="0.3">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row>
    <row r="549" spans="1:38" x14ac:dyDescent="0.3">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row>
    <row r="550" spans="1:38" x14ac:dyDescent="0.3">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row>
    <row r="551" spans="1:38" x14ac:dyDescent="0.3">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row>
    <row r="552" spans="1:38" x14ac:dyDescent="0.3">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row>
    <row r="553" spans="1:38" x14ac:dyDescent="0.3">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row>
    <row r="554" spans="1:38" x14ac:dyDescent="0.3">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row>
    <row r="555" spans="1:38" x14ac:dyDescent="0.3">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row>
    <row r="556" spans="1:38" x14ac:dyDescent="0.3">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row>
    <row r="557" spans="1:38" x14ac:dyDescent="0.3">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row>
    <row r="558" spans="1:38" x14ac:dyDescent="0.3">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row>
    <row r="559" spans="1:38" x14ac:dyDescent="0.3">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row>
    <row r="560" spans="1:38" x14ac:dyDescent="0.3">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row>
    <row r="561" spans="1:38" x14ac:dyDescent="0.3">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row>
    <row r="562" spans="1:38" x14ac:dyDescent="0.3">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row>
    <row r="563" spans="1:38" x14ac:dyDescent="0.3">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row>
    <row r="564" spans="1:38" x14ac:dyDescent="0.3">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row>
    <row r="565" spans="1:38" x14ac:dyDescent="0.3">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row>
    <row r="566" spans="1:38" x14ac:dyDescent="0.3">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row>
    <row r="567" spans="1:38" x14ac:dyDescent="0.3">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row>
    <row r="568" spans="1:38" x14ac:dyDescent="0.3">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row>
    <row r="569" spans="1:38" x14ac:dyDescent="0.3">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row>
    <row r="570" spans="1:38" x14ac:dyDescent="0.3">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row>
    <row r="571" spans="1:38" x14ac:dyDescent="0.3">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row>
    <row r="572" spans="1:38" x14ac:dyDescent="0.3">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row>
    <row r="573" spans="1:38" x14ac:dyDescent="0.3">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row>
    <row r="574" spans="1:38" x14ac:dyDescent="0.3">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row>
    <row r="575" spans="1:38" x14ac:dyDescent="0.3">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row>
    <row r="576" spans="1:38" x14ac:dyDescent="0.3">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row>
    <row r="577" spans="1:38" x14ac:dyDescent="0.3">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row>
    <row r="578" spans="1:38" x14ac:dyDescent="0.3">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row>
    <row r="579" spans="1:38" x14ac:dyDescent="0.3">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row>
    <row r="580" spans="1:38" x14ac:dyDescent="0.3">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row>
    <row r="581" spans="1:38" x14ac:dyDescent="0.3">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row>
    <row r="582" spans="1:38" x14ac:dyDescent="0.3">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row>
    <row r="583" spans="1:38" x14ac:dyDescent="0.3">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row>
    <row r="584" spans="1:38" x14ac:dyDescent="0.3">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row>
    <row r="585" spans="1:38" x14ac:dyDescent="0.3">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row>
    <row r="586" spans="1:38" x14ac:dyDescent="0.3">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row>
    <row r="587" spans="1:38" x14ac:dyDescent="0.3">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row>
    <row r="588" spans="1:38" x14ac:dyDescent="0.3">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row>
    <row r="589" spans="1:38" x14ac:dyDescent="0.3">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row>
    <row r="590" spans="1:38" x14ac:dyDescent="0.3">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row>
    <row r="591" spans="1:38" x14ac:dyDescent="0.3">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row>
    <row r="592" spans="1:38" x14ac:dyDescent="0.3">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row>
    <row r="593" spans="1:38" x14ac:dyDescent="0.3">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row>
    <row r="594" spans="1:38" x14ac:dyDescent="0.3">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row>
    <row r="595" spans="1:38" x14ac:dyDescent="0.3">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row>
    <row r="596" spans="1:38" x14ac:dyDescent="0.3">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row>
    <row r="597" spans="1:38" x14ac:dyDescent="0.3">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row>
    <row r="598" spans="1:38" x14ac:dyDescent="0.3">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row>
    <row r="599" spans="1:38" x14ac:dyDescent="0.3">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row>
    <row r="600" spans="1:38" x14ac:dyDescent="0.3">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row>
    <row r="601" spans="1:38" x14ac:dyDescent="0.3">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row>
    <row r="602" spans="1:38" x14ac:dyDescent="0.3">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row>
    <row r="603" spans="1:38" x14ac:dyDescent="0.3">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row>
    <row r="604" spans="1:38" x14ac:dyDescent="0.3">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row>
    <row r="605" spans="1:38" x14ac:dyDescent="0.3">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row>
    <row r="606" spans="1:38" x14ac:dyDescent="0.3">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row>
    <row r="607" spans="1:38" x14ac:dyDescent="0.3">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row>
    <row r="608" spans="1:38" x14ac:dyDescent="0.3">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row>
    <row r="609" spans="1:38" x14ac:dyDescent="0.3">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row>
    <row r="610" spans="1:38" x14ac:dyDescent="0.3">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row>
    <row r="611" spans="1:38" x14ac:dyDescent="0.3">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row>
    <row r="612" spans="1:38" x14ac:dyDescent="0.3">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row>
    <row r="613" spans="1:38" x14ac:dyDescent="0.3">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row>
    <row r="614" spans="1:38" x14ac:dyDescent="0.3">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row>
    <row r="615" spans="1:38" x14ac:dyDescent="0.3">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row>
    <row r="616" spans="1:38" x14ac:dyDescent="0.3">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row>
    <row r="617" spans="1:38" x14ac:dyDescent="0.3">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row>
    <row r="618" spans="1:38" x14ac:dyDescent="0.3">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row>
    <row r="619" spans="1:38" x14ac:dyDescent="0.3">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row>
    <row r="620" spans="1:38" x14ac:dyDescent="0.3">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row>
    <row r="621" spans="1:38" x14ac:dyDescent="0.3">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row>
    <row r="622" spans="1:38" x14ac:dyDescent="0.3">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row>
    <row r="623" spans="1:38" x14ac:dyDescent="0.3">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row>
    <row r="624" spans="1:38" x14ac:dyDescent="0.3">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row>
    <row r="625" spans="1:38" x14ac:dyDescent="0.3">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row>
    <row r="626" spans="1:38" x14ac:dyDescent="0.3">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row>
    <row r="627" spans="1:38" x14ac:dyDescent="0.3">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row>
    <row r="628" spans="1:38" x14ac:dyDescent="0.3">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row>
    <row r="629" spans="1:38" x14ac:dyDescent="0.3">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row>
    <row r="630" spans="1:38" x14ac:dyDescent="0.3">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row>
    <row r="631" spans="1:38" x14ac:dyDescent="0.3">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row>
    <row r="632" spans="1:38" x14ac:dyDescent="0.3">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row>
    <row r="633" spans="1:38" x14ac:dyDescent="0.3">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row>
    <row r="634" spans="1:38" x14ac:dyDescent="0.3">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row>
    <row r="635" spans="1:38" x14ac:dyDescent="0.3">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row>
    <row r="636" spans="1:38" x14ac:dyDescent="0.3">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row>
    <row r="637" spans="1:38" x14ac:dyDescent="0.3">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row>
    <row r="638" spans="1:38" x14ac:dyDescent="0.3">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row>
    <row r="639" spans="1:38" x14ac:dyDescent="0.3">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row>
    <row r="640" spans="1:38" x14ac:dyDescent="0.3">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row>
    <row r="641" spans="1:38" x14ac:dyDescent="0.3">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row>
    <row r="642" spans="1:38" x14ac:dyDescent="0.3">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row>
    <row r="643" spans="1:38" x14ac:dyDescent="0.3">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row>
    <row r="644" spans="1:38" x14ac:dyDescent="0.3">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row>
    <row r="645" spans="1:38" x14ac:dyDescent="0.3">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row>
    <row r="646" spans="1:38" x14ac:dyDescent="0.3">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row>
    <row r="647" spans="1:38" x14ac:dyDescent="0.3">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row>
    <row r="648" spans="1:38" x14ac:dyDescent="0.3">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row>
    <row r="649" spans="1:38" x14ac:dyDescent="0.3">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row>
    <row r="650" spans="1:38" x14ac:dyDescent="0.3">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row>
    <row r="651" spans="1:38" x14ac:dyDescent="0.3">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row>
    <row r="652" spans="1:38" x14ac:dyDescent="0.3">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row>
    <row r="653" spans="1:38" x14ac:dyDescent="0.3">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row>
    <row r="654" spans="1:38" x14ac:dyDescent="0.3">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row>
    <row r="655" spans="1:38" x14ac:dyDescent="0.3">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row>
    <row r="656" spans="1:38" x14ac:dyDescent="0.3">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row>
    <row r="657" spans="1:38" x14ac:dyDescent="0.3">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row>
    <row r="658" spans="1:38" x14ac:dyDescent="0.3">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row>
    <row r="659" spans="1:38" x14ac:dyDescent="0.3">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row>
    <row r="660" spans="1:38" x14ac:dyDescent="0.3">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row>
    <row r="661" spans="1:38" x14ac:dyDescent="0.3">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row>
    <row r="662" spans="1:38" x14ac:dyDescent="0.3">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row>
    <row r="663" spans="1:38" x14ac:dyDescent="0.3">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row>
    <row r="664" spans="1:38" x14ac:dyDescent="0.3">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row>
    <row r="665" spans="1:38" x14ac:dyDescent="0.3">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row>
    <row r="666" spans="1:38" x14ac:dyDescent="0.3">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row>
    <row r="667" spans="1:38" x14ac:dyDescent="0.3">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row>
    <row r="668" spans="1:38" x14ac:dyDescent="0.3">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row>
    <row r="669" spans="1:38" x14ac:dyDescent="0.3">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row>
    <row r="670" spans="1:38" x14ac:dyDescent="0.3">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row>
    <row r="671" spans="1:38" x14ac:dyDescent="0.3">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row>
    <row r="672" spans="1:38" x14ac:dyDescent="0.3">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row>
    <row r="673" spans="1:38" x14ac:dyDescent="0.3">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row>
    <row r="674" spans="1:38" x14ac:dyDescent="0.3">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row>
    <row r="675" spans="1:38" x14ac:dyDescent="0.3">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row>
    <row r="676" spans="1:38" x14ac:dyDescent="0.3">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row>
    <row r="677" spans="1:38" x14ac:dyDescent="0.3">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row>
    <row r="678" spans="1:38" x14ac:dyDescent="0.3">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row>
    <row r="679" spans="1:38" x14ac:dyDescent="0.3">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row>
    <row r="680" spans="1:38" x14ac:dyDescent="0.3">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row>
    <row r="681" spans="1:38" x14ac:dyDescent="0.3">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row>
    <row r="682" spans="1:38" x14ac:dyDescent="0.3">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row>
    <row r="683" spans="1:38" x14ac:dyDescent="0.3">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row>
    <row r="684" spans="1:38" x14ac:dyDescent="0.3">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row>
    <row r="685" spans="1:38" x14ac:dyDescent="0.3">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row>
    <row r="686" spans="1:38" x14ac:dyDescent="0.3">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row>
    <row r="687" spans="1:38" x14ac:dyDescent="0.3">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row>
    <row r="688" spans="1:38" x14ac:dyDescent="0.3">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row>
    <row r="689" spans="1:38" x14ac:dyDescent="0.3">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row>
    <row r="690" spans="1:38" x14ac:dyDescent="0.3">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row>
    <row r="691" spans="1:38" x14ac:dyDescent="0.3">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row>
    <row r="692" spans="1:38" x14ac:dyDescent="0.3">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row>
    <row r="693" spans="1:38" x14ac:dyDescent="0.3">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row>
    <row r="694" spans="1:38" x14ac:dyDescent="0.3">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row>
    <row r="695" spans="1:38" x14ac:dyDescent="0.3">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row>
    <row r="696" spans="1:38" x14ac:dyDescent="0.3">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row>
    <row r="697" spans="1:38" x14ac:dyDescent="0.3">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row>
    <row r="698" spans="1:38" x14ac:dyDescent="0.3">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row>
    <row r="699" spans="1:38" x14ac:dyDescent="0.3">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row>
    <row r="700" spans="1:38" x14ac:dyDescent="0.3">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row>
    <row r="701" spans="1:38" x14ac:dyDescent="0.3">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row>
    <row r="702" spans="1:38" x14ac:dyDescent="0.3">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row>
    <row r="703" spans="1:38" x14ac:dyDescent="0.3">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row>
    <row r="704" spans="1:38" x14ac:dyDescent="0.3">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row>
    <row r="705" spans="1:38" x14ac:dyDescent="0.3">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row>
    <row r="706" spans="1:38" x14ac:dyDescent="0.3">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row>
    <row r="707" spans="1:38" x14ac:dyDescent="0.3">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row>
    <row r="708" spans="1:38" x14ac:dyDescent="0.3">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row>
    <row r="709" spans="1:38" x14ac:dyDescent="0.3">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row>
    <row r="710" spans="1:38" x14ac:dyDescent="0.3">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row>
    <row r="711" spans="1:38" x14ac:dyDescent="0.3">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row>
    <row r="712" spans="1:38" x14ac:dyDescent="0.3">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row>
    <row r="713" spans="1:38" x14ac:dyDescent="0.3">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row>
    <row r="714" spans="1:38" x14ac:dyDescent="0.3">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row>
    <row r="715" spans="1:38" x14ac:dyDescent="0.3">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row>
    <row r="716" spans="1:38" x14ac:dyDescent="0.3">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row>
    <row r="717" spans="1:38" x14ac:dyDescent="0.3">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row>
    <row r="718" spans="1:38" x14ac:dyDescent="0.3">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row>
    <row r="719" spans="1:38" x14ac:dyDescent="0.3">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row>
    <row r="720" spans="1:38" x14ac:dyDescent="0.3">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row>
    <row r="721" spans="1:38" x14ac:dyDescent="0.3">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row>
    <row r="722" spans="1:38" x14ac:dyDescent="0.3">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row>
    <row r="723" spans="1:38" x14ac:dyDescent="0.3">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row>
    <row r="724" spans="1:38" x14ac:dyDescent="0.3">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row>
    <row r="725" spans="1:38" x14ac:dyDescent="0.3">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row>
    <row r="726" spans="1:38" x14ac:dyDescent="0.3">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row>
    <row r="727" spans="1:38" x14ac:dyDescent="0.3">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row>
    <row r="728" spans="1:38" x14ac:dyDescent="0.3">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row>
    <row r="729" spans="1:38" x14ac:dyDescent="0.3">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row>
    <row r="730" spans="1:38" x14ac:dyDescent="0.3">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row>
    <row r="731" spans="1:38" x14ac:dyDescent="0.3">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row>
    <row r="732" spans="1:38" x14ac:dyDescent="0.3">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row>
    <row r="733" spans="1:38" x14ac:dyDescent="0.3">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row>
    <row r="734" spans="1:38" x14ac:dyDescent="0.3">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row>
    <row r="735" spans="1:38" x14ac:dyDescent="0.3">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row>
    <row r="736" spans="1:38" x14ac:dyDescent="0.3">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row>
    <row r="737" spans="1:38" x14ac:dyDescent="0.3">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row>
    <row r="738" spans="1:38" x14ac:dyDescent="0.3">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row>
    <row r="739" spans="1:38" x14ac:dyDescent="0.3">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row>
    <row r="740" spans="1:38" x14ac:dyDescent="0.3">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row>
    <row r="741" spans="1:38" x14ac:dyDescent="0.3">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row>
    <row r="742" spans="1:38" x14ac:dyDescent="0.3">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row>
    <row r="743" spans="1:38" x14ac:dyDescent="0.3">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row>
    <row r="744" spans="1:38" x14ac:dyDescent="0.3">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row>
    <row r="745" spans="1:38" x14ac:dyDescent="0.3">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row>
    <row r="746" spans="1:38" x14ac:dyDescent="0.3">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row>
    <row r="747" spans="1:38" x14ac:dyDescent="0.3">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row>
    <row r="748" spans="1:38" x14ac:dyDescent="0.3">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row>
    <row r="749" spans="1:38" x14ac:dyDescent="0.3">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row>
    <row r="750" spans="1:38" x14ac:dyDescent="0.3">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row>
    <row r="751" spans="1:38" x14ac:dyDescent="0.3">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row>
    <row r="752" spans="1:38" x14ac:dyDescent="0.3">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row>
    <row r="753" spans="1:38" x14ac:dyDescent="0.3">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row>
    <row r="754" spans="1:38" x14ac:dyDescent="0.3">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row>
    <row r="755" spans="1:38" x14ac:dyDescent="0.3">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row>
    <row r="756" spans="1:38" x14ac:dyDescent="0.3">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row>
    <row r="757" spans="1:38" x14ac:dyDescent="0.3">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row>
    <row r="758" spans="1:38" x14ac:dyDescent="0.3">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row>
    <row r="759" spans="1:38" x14ac:dyDescent="0.3">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row>
    <row r="760" spans="1:38" x14ac:dyDescent="0.3">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row>
    <row r="761" spans="1:38" x14ac:dyDescent="0.3">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row>
    <row r="762" spans="1:38" x14ac:dyDescent="0.3">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row>
    <row r="763" spans="1:38" x14ac:dyDescent="0.3">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row>
    <row r="764" spans="1:38" x14ac:dyDescent="0.3">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row>
    <row r="765" spans="1:38" x14ac:dyDescent="0.3">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row>
    <row r="766" spans="1:38" x14ac:dyDescent="0.3">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row>
    <row r="767" spans="1:38" x14ac:dyDescent="0.3">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row>
    <row r="768" spans="1:38" x14ac:dyDescent="0.3">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row>
    <row r="769" spans="1:38" x14ac:dyDescent="0.3">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row>
    <row r="770" spans="1:38" x14ac:dyDescent="0.3">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row>
    <row r="771" spans="1:38" x14ac:dyDescent="0.3">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row>
    <row r="772" spans="1:38" x14ac:dyDescent="0.3">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row>
    <row r="773" spans="1:38" x14ac:dyDescent="0.3">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row>
    <row r="774" spans="1:38" x14ac:dyDescent="0.3">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row>
    <row r="775" spans="1:38" x14ac:dyDescent="0.3">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row>
    <row r="776" spans="1:38" x14ac:dyDescent="0.3">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row>
    <row r="777" spans="1:38" x14ac:dyDescent="0.3">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row>
    <row r="778" spans="1:38" x14ac:dyDescent="0.3">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row>
    <row r="779" spans="1:38" x14ac:dyDescent="0.3">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row>
    <row r="780" spans="1:38" x14ac:dyDescent="0.3">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row>
    <row r="781" spans="1:38" x14ac:dyDescent="0.3">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row>
    <row r="782" spans="1:38" x14ac:dyDescent="0.3">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row>
    <row r="783" spans="1:38" x14ac:dyDescent="0.3">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row>
    <row r="784" spans="1:38" x14ac:dyDescent="0.3">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row>
    <row r="785" spans="1:38" x14ac:dyDescent="0.3">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row>
    <row r="786" spans="1:38" x14ac:dyDescent="0.3">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row>
    <row r="787" spans="1:38" x14ac:dyDescent="0.3">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row>
    <row r="788" spans="1:38" x14ac:dyDescent="0.3">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row>
    <row r="789" spans="1:38" x14ac:dyDescent="0.3">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row>
    <row r="790" spans="1:38" x14ac:dyDescent="0.3">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row>
    <row r="791" spans="1:38" x14ac:dyDescent="0.3">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row>
    <row r="792" spans="1:38" x14ac:dyDescent="0.3">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row>
    <row r="793" spans="1:38" x14ac:dyDescent="0.3">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row>
    <row r="794" spans="1:38" x14ac:dyDescent="0.3">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row>
    <row r="795" spans="1:38" x14ac:dyDescent="0.3">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row>
    <row r="796" spans="1:38" x14ac:dyDescent="0.3">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row>
    <row r="797" spans="1:38" x14ac:dyDescent="0.3">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row>
    <row r="798" spans="1:38" x14ac:dyDescent="0.3">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row>
    <row r="799" spans="1:38" x14ac:dyDescent="0.3">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row>
    <row r="800" spans="1:38" x14ac:dyDescent="0.3">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row>
    <row r="801" spans="1:38" x14ac:dyDescent="0.3">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row>
    <row r="802" spans="1:38" x14ac:dyDescent="0.3">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row>
    <row r="803" spans="1:38" x14ac:dyDescent="0.3">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row>
    <row r="804" spans="1:38" x14ac:dyDescent="0.3">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row>
    <row r="805" spans="1:38" x14ac:dyDescent="0.3">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row>
    <row r="806" spans="1:38" x14ac:dyDescent="0.3">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row>
    <row r="807" spans="1:38" x14ac:dyDescent="0.3">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row>
    <row r="808" spans="1:38" x14ac:dyDescent="0.3">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row>
    <row r="809" spans="1:38" x14ac:dyDescent="0.3">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row>
    <row r="810" spans="1:38" x14ac:dyDescent="0.3">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row>
    <row r="811" spans="1:38" x14ac:dyDescent="0.3">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row>
    <row r="812" spans="1:38" x14ac:dyDescent="0.3">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row>
    <row r="813" spans="1:38" x14ac:dyDescent="0.3">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row>
    <row r="814" spans="1:38" x14ac:dyDescent="0.3">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row>
    <row r="815" spans="1:38" x14ac:dyDescent="0.3">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row>
    <row r="816" spans="1:38" x14ac:dyDescent="0.3">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row>
    <row r="817" spans="1:38" x14ac:dyDescent="0.3">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row>
    <row r="818" spans="1:38" x14ac:dyDescent="0.3">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row>
    <row r="819" spans="1:38" x14ac:dyDescent="0.3">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row>
    <row r="820" spans="1:38" x14ac:dyDescent="0.3">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row>
    <row r="821" spans="1:38" x14ac:dyDescent="0.3">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row>
    <row r="822" spans="1:38" x14ac:dyDescent="0.3">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row>
    <row r="823" spans="1:38" x14ac:dyDescent="0.3">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row>
    <row r="824" spans="1:38" x14ac:dyDescent="0.3">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row>
    <row r="825" spans="1:38" x14ac:dyDescent="0.3">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row>
    <row r="826" spans="1:38" x14ac:dyDescent="0.3">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row>
    <row r="827" spans="1:38" x14ac:dyDescent="0.3">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row>
    <row r="828" spans="1:38" x14ac:dyDescent="0.3">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row>
    <row r="829" spans="1:38" x14ac:dyDescent="0.3">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row>
    <row r="830" spans="1:38" x14ac:dyDescent="0.3">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row>
    <row r="831" spans="1:38" x14ac:dyDescent="0.3">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row>
    <row r="832" spans="1:38" x14ac:dyDescent="0.3">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row>
    <row r="833" spans="1:38" x14ac:dyDescent="0.3">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row>
    <row r="834" spans="1:38" x14ac:dyDescent="0.3">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row>
    <row r="835" spans="1:38" x14ac:dyDescent="0.3">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row>
    <row r="836" spans="1:38" x14ac:dyDescent="0.3">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row>
    <row r="837" spans="1:38" x14ac:dyDescent="0.3">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row>
    <row r="838" spans="1:38" x14ac:dyDescent="0.3">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row>
    <row r="839" spans="1:38" x14ac:dyDescent="0.3">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row>
    <row r="840" spans="1:38" x14ac:dyDescent="0.3">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row>
    <row r="841" spans="1:38" x14ac:dyDescent="0.3">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row>
    <row r="842" spans="1:38" x14ac:dyDescent="0.3">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row>
    <row r="843" spans="1:38" x14ac:dyDescent="0.3">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row>
    <row r="844" spans="1:38" x14ac:dyDescent="0.3">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row>
    <row r="845" spans="1:38" x14ac:dyDescent="0.3">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row>
    <row r="846" spans="1:38" x14ac:dyDescent="0.3">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row>
    <row r="847" spans="1:38" x14ac:dyDescent="0.3">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row>
    <row r="848" spans="1:38" x14ac:dyDescent="0.3">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row>
    <row r="849" spans="1:38" x14ac:dyDescent="0.3">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row>
    <row r="850" spans="1:38" x14ac:dyDescent="0.3">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row>
    <row r="851" spans="1:38" x14ac:dyDescent="0.3">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row>
    <row r="852" spans="1:38" x14ac:dyDescent="0.3">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row>
    <row r="853" spans="1:38" x14ac:dyDescent="0.3">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row>
    <row r="854" spans="1:38" x14ac:dyDescent="0.3">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row>
    <row r="855" spans="1:38" x14ac:dyDescent="0.3">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row>
    <row r="856" spans="1:38" x14ac:dyDescent="0.3">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row>
    <row r="857" spans="1:38" x14ac:dyDescent="0.3">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row>
    <row r="858" spans="1:38" x14ac:dyDescent="0.3">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row>
    <row r="859" spans="1:38" x14ac:dyDescent="0.3">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row>
    <row r="860" spans="1:38" x14ac:dyDescent="0.3">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row>
    <row r="861" spans="1:38" x14ac:dyDescent="0.3">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row>
    <row r="862" spans="1:38" x14ac:dyDescent="0.3">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row>
    <row r="863" spans="1:38" x14ac:dyDescent="0.3">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row>
    <row r="864" spans="1:38" x14ac:dyDescent="0.3">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row>
    <row r="865" spans="1:38" x14ac:dyDescent="0.3">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row>
    <row r="866" spans="1:38" x14ac:dyDescent="0.3">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row>
    <row r="867" spans="1:38" x14ac:dyDescent="0.3">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row>
    <row r="868" spans="1:38" x14ac:dyDescent="0.3">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row>
    <row r="869" spans="1:38" x14ac:dyDescent="0.3">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row>
    <row r="870" spans="1:38" x14ac:dyDescent="0.3">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row>
    <row r="871" spans="1:38" x14ac:dyDescent="0.3">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row>
    <row r="872" spans="1:38" x14ac:dyDescent="0.3">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row>
    <row r="873" spans="1:38" x14ac:dyDescent="0.3">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row>
    <row r="874" spans="1:38" x14ac:dyDescent="0.3">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row>
    <row r="875" spans="1:38" x14ac:dyDescent="0.3">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row>
    <row r="876" spans="1:38" x14ac:dyDescent="0.3">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row>
    <row r="877" spans="1:38" x14ac:dyDescent="0.3">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row>
    <row r="878" spans="1:38" x14ac:dyDescent="0.3">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row>
    <row r="879" spans="1:38" x14ac:dyDescent="0.3">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row>
    <row r="880" spans="1:38" x14ac:dyDescent="0.3">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row>
    <row r="881" spans="1:38" x14ac:dyDescent="0.3">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row>
    <row r="882" spans="1:38" x14ac:dyDescent="0.3">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row>
    <row r="883" spans="1:38" x14ac:dyDescent="0.3">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row>
    <row r="884" spans="1:38" x14ac:dyDescent="0.3">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row>
    <row r="885" spans="1:38" x14ac:dyDescent="0.3">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row>
    <row r="886" spans="1:38" x14ac:dyDescent="0.3">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row>
    <row r="887" spans="1:38" x14ac:dyDescent="0.3">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row>
    <row r="888" spans="1:38" x14ac:dyDescent="0.3">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row>
    <row r="889" spans="1:38" x14ac:dyDescent="0.3">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row>
    <row r="890" spans="1:38" x14ac:dyDescent="0.3">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row>
    <row r="891" spans="1:38" x14ac:dyDescent="0.3">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row>
    <row r="892" spans="1:38" x14ac:dyDescent="0.3">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row>
    <row r="893" spans="1:38" x14ac:dyDescent="0.3">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row>
    <row r="894" spans="1:38" x14ac:dyDescent="0.3">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row>
    <row r="895" spans="1:38" x14ac:dyDescent="0.3">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row>
    <row r="896" spans="1:38" x14ac:dyDescent="0.3">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row>
    <row r="897" spans="1:38" x14ac:dyDescent="0.3">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row>
    <row r="898" spans="1:38" x14ac:dyDescent="0.3">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row>
    <row r="899" spans="1:38" x14ac:dyDescent="0.3">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row>
    <row r="900" spans="1:38" x14ac:dyDescent="0.3">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row>
    <row r="901" spans="1:38" x14ac:dyDescent="0.3">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row>
    <row r="902" spans="1:38" x14ac:dyDescent="0.3">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row>
    <row r="903" spans="1:38" x14ac:dyDescent="0.3">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row>
    <row r="904" spans="1:38" x14ac:dyDescent="0.3">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row>
    <row r="905" spans="1:38" x14ac:dyDescent="0.3">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row>
    <row r="906" spans="1:38" x14ac:dyDescent="0.3">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row>
    <row r="907" spans="1:38" x14ac:dyDescent="0.3">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row>
    <row r="908" spans="1:38" x14ac:dyDescent="0.3">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row>
    <row r="909" spans="1:38" x14ac:dyDescent="0.3">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row>
    <row r="910" spans="1:38" x14ac:dyDescent="0.3">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row>
    <row r="911" spans="1:38" x14ac:dyDescent="0.3">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row>
    <row r="912" spans="1:38" x14ac:dyDescent="0.3">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row>
    <row r="913" spans="1:38" x14ac:dyDescent="0.3">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row>
    <row r="914" spans="1:38" x14ac:dyDescent="0.3">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row>
    <row r="915" spans="1:38" x14ac:dyDescent="0.3">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row>
    <row r="916" spans="1:38" x14ac:dyDescent="0.3">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row>
    <row r="917" spans="1:38" x14ac:dyDescent="0.3">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row>
    <row r="918" spans="1:38" x14ac:dyDescent="0.3">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row>
    <row r="919" spans="1:38" x14ac:dyDescent="0.3">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row>
    <row r="920" spans="1:38" x14ac:dyDescent="0.3">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row>
    <row r="921" spans="1:38" x14ac:dyDescent="0.3">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row>
    <row r="922" spans="1:38" x14ac:dyDescent="0.3">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row>
    <row r="923" spans="1:38" x14ac:dyDescent="0.3">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row>
    <row r="924" spans="1:38" x14ac:dyDescent="0.3">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row>
    <row r="925" spans="1:38" x14ac:dyDescent="0.3">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row>
    <row r="926" spans="1:38" x14ac:dyDescent="0.3">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row>
    <row r="927" spans="1:38" x14ac:dyDescent="0.3">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row>
    <row r="928" spans="1:38" x14ac:dyDescent="0.3">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row>
    <row r="929" spans="1:38" x14ac:dyDescent="0.3">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row>
    <row r="930" spans="1:38" x14ac:dyDescent="0.3">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row>
    <row r="931" spans="1:38" x14ac:dyDescent="0.3">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row>
    <row r="932" spans="1:38" x14ac:dyDescent="0.3">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row>
    <row r="933" spans="1:38" x14ac:dyDescent="0.3">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row>
    <row r="934" spans="1:38" x14ac:dyDescent="0.3">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row>
    <row r="935" spans="1:38" x14ac:dyDescent="0.3">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row>
    <row r="936" spans="1:38" x14ac:dyDescent="0.3">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row>
    <row r="937" spans="1:38" x14ac:dyDescent="0.3">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row>
    <row r="938" spans="1:38" x14ac:dyDescent="0.3">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row>
    <row r="939" spans="1:38" x14ac:dyDescent="0.3">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row>
    <row r="940" spans="1:38" x14ac:dyDescent="0.3">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row>
    <row r="941" spans="1:38" x14ac:dyDescent="0.3">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row>
    <row r="942" spans="1:38" x14ac:dyDescent="0.3">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row>
    <row r="943" spans="1:38" x14ac:dyDescent="0.3">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row>
    <row r="944" spans="1:38" x14ac:dyDescent="0.3">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row>
    <row r="945" spans="1:38" x14ac:dyDescent="0.3">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row>
    <row r="946" spans="1:38" x14ac:dyDescent="0.3">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row>
    <row r="947" spans="1:38" x14ac:dyDescent="0.3">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row>
    <row r="948" spans="1:38" x14ac:dyDescent="0.3">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row>
    <row r="949" spans="1:38" x14ac:dyDescent="0.3">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row>
    <row r="950" spans="1:38" x14ac:dyDescent="0.3">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row>
    <row r="951" spans="1:38" x14ac:dyDescent="0.3">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row>
    <row r="952" spans="1:38" x14ac:dyDescent="0.3">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row>
    <row r="953" spans="1:38" x14ac:dyDescent="0.3">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row>
  </sheetData>
  <pageMargins left="0.7" right="0.7" top="0.75" bottom="0.75" header="0" footer="0"/>
  <pageSetup paperSize="9" orientation="landscape"/>
  <ignoredErrors>
    <ignoredError sqref="J36 L36 G36" formula="1"/>
  </ignoredErrors>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DC95-03F8-4750-9E95-036555CED389}">
  <dimension ref="A1"/>
  <sheetViews>
    <sheetView workbookViewId="0">
      <selection activeCell="G24" sqref="G24"/>
    </sheetView>
  </sheetViews>
  <sheetFormatPr defaultRowHeight="11.4"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Calculators</vt:lpstr>
      <vt:lpstr>2024</vt:lpstr>
      <vt:lpstr>description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George</dc:creator>
  <cp:lastModifiedBy>vipin kumar pandey</cp:lastModifiedBy>
  <dcterms:created xsi:type="dcterms:W3CDTF">2009-06-10T07:37:14Z</dcterms:created>
  <dcterms:modified xsi:type="dcterms:W3CDTF">2025-10-17T04:30:29Z</dcterms:modified>
</cp:coreProperties>
</file>