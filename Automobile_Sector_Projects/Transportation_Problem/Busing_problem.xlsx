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pvipi\Desktop\VIP_GitHub\Excel_Projects\Automobile_Sector_Projects\Transportation_Problem\"/>
    </mc:Choice>
  </mc:AlternateContent>
  <xr:revisionPtr revIDLastSave="0" documentId="13_ncr:1_{4E4386CD-3E0A-4894-A7A1-22A304F6C272}" xr6:coauthVersionLast="47" xr6:coauthVersionMax="47" xr10:uidLastSave="{00000000-0000-0000-0000-000000000000}"/>
  <bookViews>
    <workbookView xWindow="-108" yWindow="-108" windowWidth="23256" windowHeight="12456" xr2:uid="{CE6EC854-2F38-403E-B71E-C82C34D64A13}"/>
  </bookViews>
  <sheets>
    <sheet name="Sheet1" sheetId="1" r:id="rId1"/>
    <sheet name="problem_statement" sheetId="2" r:id="rId2"/>
  </sheets>
  <definedNames>
    <definedName name="solver_adj" localSheetId="0" hidden="1">Sheet1!$C$4:$Q$4</definedName>
    <definedName name="solver_cvg" localSheetId="0" hidden="1">0.0001</definedName>
    <definedName name="solver_drv" localSheetId="0" hidden="1">1</definedName>
    <definedName name="solver_eng" localSheetId="0" hidden="1">2</definedName>
    <definedName name="solver_est" localSheetId="0" hidden="1">1</definedName>
    <definedName name="solver_itr" localSheetId="0" hidden="1">2147483647</definedName>
    <definedName name="solver_lhs1" localSheetId="0" hidden="1">Sheet1!$R$11</definedName>
    <definedName name="solver_lhs2" localSheetId="0" hidden="1">Sheet1!$R$12</definedName>
    <definedName name="solver_lhs3" localSheetId="0" hidden="1">Sheet1!$R$13</definedName>
    <definedName name="solver_lhs4" localSheetId="0" hidden="1">Sheet1!$R$14</definedName>
    <definedName name="solver_lhs5" localSheetId="0" hidden="1">Sheet1!$R$15</definedName>
    <definedName name="solver_lhs6" localSheetId="0" hidden="1">Sheet1!$R$16</definedName>
    <definedName name="solver_lhs7" localSheetId="0" hidden="1">Sheet1!$R$17</definedName>
    <definedName name="solver_lhs8" localSheetId="0" hidden="1">Sheet1!$R$18</definedName>
    <definedName name="solver_mip" localSheetId="0" hidden="1">2147483647</definedName>
    <definedName name="solver_mni" localSheetId="0" hidden="1">30</definedName>
    <definedName name="solver_mrt" localSheetId="0" hidden="1">0.075</definedName>
    <definedName name="solver_msl" localSheetId="0" hidden="1">2</definedName>
    <definedName name="solver_neg" localSheetId="0" hidden="1">1</definedName>
    <definedName name="solver_nod" localSheetId="0" hidden="1">2147483647</definedName>
    <definedName name="solver_num" localSheetId="0" hidden="1">8</definedName>
    <definedName name="solver_nwt" localSheetId="0" hidden="1">1</definedName>
    <definedName name="solver_opt" localSheetId="0" hidden="1">Sheet1!$B$7</definedName>
    <definedName name="solver_pre" localSheetId="0" hidden="1">0.000001</definedName>
    <definedName name="solver_rbv" localSheetId="0" hidden="1">1</definedName>
    <definedName name="solver_rel1" localSheetId="0" hidden="1">1</definedName>
    <definedName name="solver_rel2" localSheetId="0" hidden="1">1</definedName>
    <definedName name="solver_rel3" localSheetId="0" hidden="1">1</definedName>
    <definedName name="solver_rel4" localSheetId="0" hidden="1">2</definedName>
    <definedName name="solver_rel5" localSheetId="0" hidden="1">2</definedName>
    <definedName name="solver_rel6" localSheetId="0" hidden="1">2</definedName>
    <definedName name="solver_rel7" localSheetId="0" hidden="1">2</definedName>
    <definedName name="solver_rel8" localSheetId="0" hidden="1">2</definedName>
    <definedName name="solver_rhs1" localSheetId="0" hidden="1">Sheet1!$T$11</definedName>
    <definedName name="solver_rhs2" localSheetId="0" hidden="1">Sheet1!$T$12</definedName>
    <definedName name="solver_rhs3" localSheetId="0" hidden="1">Sheet1!$T$13</definedName>
    <definedName name="solver_rhs4" localSheetId="0" hidden="1">Sheet1!$T$14</definedName>
    <definedName name="solver_rhs5" localSheetId="0" hidden="1">Sheet1!$T$15</definedName>
    <definedName name="solver_rhs6" localSheetId="0" hidden="1">Sheet1!$T$16</definedName>
    <definedName name="solver_rhs7" localSheetId="0" hidden="1">Sheet1!$T$17</definedName>
    <definedName name="solver_rhs8" localSheetId="0" hidden="1">Sheet1!$T$18</definedName>
    <definedName name="solver_rlx" localSheetId="0" hidden="1">2</definedName>
    <definedName name="solver_rsd" localSheetId="0" hidden="1">0</definedName>
    <definedName name="solver_scl" localSheetId="0" hidden="1">1</definedName>
    <definedName name="solver_sho" localSheetId="0" hidden="1">2</definedName>
    <definedName name="solver_ssz" localSheetId="0" hidden="1">100</definedName>
    <definedName name="solver_tim" localSheetId="0" hidden="1">2147483647</definedName>
    <definedName name="solver_tol" localSheetId="0" hidden="1">0.01</definedName>
    <definedName name="solver_typ" localSheetId="0" hidden="1">2</definedName>
    <definedName name="solver_val" localSheetId="0" hidden="1">0</definedName>
    <definedName name="solver_ver" localSheetId="0"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 i="1" l="1"/>
  <c r="R16" i="1"/>
  <c r="R17" i="1"/>
  <c r="R18" i="1"/>
  <c r="R14" i="1"/>
  <c r="R12" i="1"/>
  <c r="R13" i="1"/>
  <c r="R11" i="1"/>
  <c r="B7" i="1"/>
</calcChain>
</file>

<file path=xl/sharedStrings.xml><?xml version="1.0" encoding="utf-8"?>
<sst xmlns="http://schemas.openxmlformats.org/spreadsheetml/2006/main" count="50" uniqueCount="44">
  <si>
    <t>Sector</t>
  </si>
  <si>
    <t>Distance to Kyoko HS (in Sector B)</t>
  </si>
  <si>
    <t>Distance to Devon HS (in Sector C)</t>
  </si>
  <si>
    <t>Distance to Manny HS (in Sector E)</t>
  </si>
  <si>
    <t>Number of Students</t>
  </si>
  <si>
    <t>A</t>
  </si>
  <si>
    <t>B</t>
  </si>
  <si>
    <t>C</t>
  </si>
  <si>
    <t>D</t>
  </si>
  <si>
    <t>E</t>
  </si>
  <si>
    <t>Constraints:</t>
  </si>
  <si>
    <t>LHS</t>
  </si>
  <si>
    <t>RHS</t>
  </si>
  <si>
    <t>=</t>
  </si>
  <si>
    <t>AB</t>
  </si>
  <si>
    <t>AC</t>
  </si>
  <si>
    <t>AE</t>
  </si>
  <si>
    <t>BC</t>
  </si>
  <si>
    <t>BB</t>
  </si>
  <si>
    <t>BE</t>
  </si>
  <si>
    <t>CB</t>
  </si>
  <si>
    <t>CC</t>
  </si>
  <si>
    <t>CE</t>
  </si>
  <si>
    <t>DB</t>
  </si>
  <si>
    <t>DC</t>
  </si>
  <si>
    <t>DE</t>
  </si>
  <si>
    <t>EB</t>
  </si>
  <si>
    <t>EC</t>
  </si>
  <si>
    <t>EE</t>
  </si>
  <si>
    <t>Routes:</t>
  </si>
  <si>
    <t>No. of Students:</t>
  </si>
  <si>
    <t>Distance of schools from sectors:</t>
  </si>
  <si>
    <t>Objective (Min. distance travelled):</t>
  </si>
  <si>
    <t>900 students in school C:</t>
  </si>
  <si>
    <t>900 students in school E:</t>
  </si>
  <si>
    <t>900 students in school B:</t>
  </si>
  <si>
    <t>500 from sector B:</t>
  </si>
  <si>
    <t>700 from sector A:</t>
  </si>
  <si>
    <t>100 from sector C:</t>
  </si>
  <si>
    <t>800 from sector D:</t>
  </si>
  <si>
    <t>400 from sector E:</t>
  </si>
  <si>
    <t>Sign</t>
  </si>
  <si>
    <t>&lt;=</t>
  </si>
  <si>
    <t>The minimum distance travelled under the given conditions is, 5400 miles.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</si>
</sst>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0"/>
      <color rgb="FF0F1114"/>
      <name val="Source Sans Pro"/>
      <family val="2"/>
    </font>
  </fonts>
  <fills count="3">
    <fill>
      <patternFill patternType="none"/>
    </fill>
    <fill>
      <patternFill patternType="gray125"/>
    </fill>
    <fill>
      <patternFill patternType="solid">
        <fgColor theme="6"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0" fillId="0" borderId="0" xfId="0" applyAlignment="1">
      <alignment horizontal="center"/>
    </xf>
    <xf numFmtId="0" fontId="1" fillId="0" borderId="0" xfId="0" applyFont="1" applyAlignment="1">
      <alignment horizontal="center"/>
    </xf>
    <xf numFmtId="0" fontId="0" fillId="0" borderId="1" xfId="0" applyBorder="1"/>
    <xf numFmtId="0" fontId="0" fillId="0" borderId="1" xfId="0" applyBorder="1" applyAlignment="1">
      <alignment horizontal="center"/>
    </xf>
    <xf numFmtId="0" fontId="0" fillId="0" borderId="0" xfId="0" applyBorder="1"/>
    <xf numFmtId="0" fontId="0" fillId="0" borderId="0" xfId="0" applyBorder="1" applyAlignment="1">
      <alignment horizontal="center"/>
    </xf>
    <xf numFmtId="0" fontId="0" fillId="0" borderId="1" xfId="0" applyBorder="1" applyAlignment="1">
      <alignment horizontal="left"/>
    </xf>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7620</xdr:colOff>
      <xdr:row>0</xdr:row>
      <xdr:rowOff>175260</xdr:rowOff>
    </xdr:from>
    <xdr:to>
      <xdr:col>12</xdr:col>
      <xdr:colOff>99060</xdr:colOff>
      <xdr:row>7</xdr:row>
      <xdr:rowOff>38100</xdr:rowOff>
    </xdr:to>
    <xdr:sp macro="" textlink="">
      <xdr:nvSpPr>
        <xdr:cNvPr id="2" name="TextBox 1">
          <a:extLst>
            <a:ext uri="{FF2B5EF4-FFF2-40B4-BE49-F238E27FC236}">
              <a16:creationId xmlns:a16="http://schemas.microsoft.com/office/drawing/2014/main" id="{085112B7-237C-BFAE-D385-8B42CEEE8DF7}"/>
            </a:ext>
          </a:extLst>
        </xdr:cNvPr>
        <xdr:cNvSpPr txBox="1"/>
      </xdr:nvSpPr>
      <xdr:spPr>
        <a:xfrm>
          <a:off x="617220" y="175260"/>
          <a:ext cx="11757660" cy="114300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i="0">
              <a:solidFill>
                <a:schemeClr val="dk1"/>
              </a:solidFill>
              <a:effectLst/>
              <a:latin typeface="+mn-lt"/>
              <a:ea typeface="+mn-ea"/>
              <a:cs typeface="+mn-cs"/>
            </a:rPr>
            <a:t>Johns Hopkins is setting up three Charter schools in Baltimore City: Kyoko HS, Devon HS, and Manny HS. Each high school has a capacity of 900 students. The Mayor hires your company to assign accepted students to these three new high schools.  Busses will be provided to students who live more than walking distance (defined as 1.5 miles) to the schools. Baltimore City has been partitioned into five neighborhoods: A, B, C, D and E.  Kyoko HS is in sector B, Devon HS is in sector C, and Manny HS is in sector E. If a student lives in a sector and is assigned to the high school in that sector, the student can walk to school and does not get a bus. All students must be assigned a school. The table below shows the distance (in miles) from each sector to each school. Minimize the total student miles travelled by bus. </a:t>
          </a:r>
          <a:endParaRPr lang="en-IN"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EFA35-54FF-4F7B-A17D-4AA718A5BEFD}">
  <dimension ref="A3:T27"/>
  <sheetViews>
    <sheetView tabSelected="1" workbookViewId="0">
      <selection activeCell="B21" sqref="B21"/>
    </sheetView>
  </sheetViews>
  <sheetFormatPr defaultRowHeight="14.4" x14ac:dyDescent="0.3"/>
  <cols>
    <col min="1" max="1" width="28.5546875" bestFit="1" customWidth="1"/>
    <col min="3" max="5" width="8.88671875" customWidth="1"/>
  </cols>
  <sheetData>
    <row r="3" spans="1:20" x14ac:dyDescent="0.3">
      <c r="A3" t="s">
        <v>29</v>
      </c>
      <c r="C3" s="1" t="s">
        <v>14</v>
      </c>
      <c r="D3" s="1" t="s">
        <v>15</v>
      </c>
      <c r="E3" s="1" t="s">
        <v>16</v>
      </c>
      <c r="F3" s="1" t="s">
        <v>18</v>
      </c>
      <c r="G3" s="1" t="s">
        <v>17</v>
      </c>
      <c r="H3" s="1" t="s">
        <v>19</v>
      </c>
      <c r="I3" s="1" t="s">
        <v>20</v>
      </c>
      <c r="J3" s="1" t="s">
        <v>21</v>
      </c>
      <c r="K3" s="1" t="s">
        <v>22</v>
      </c>
      <c r="L3" s="1" t="s">
        <v>23</v>
      </c>
      <c r="M3" s="1" t="s">
        <v>24</v>
      </c>
      <c r="N3" s="1" t="s">
        <v>25</v>
      </c>
      <c r="O3" s="1" t="s">
        <v>26</v>
      </c>
      <c r="P3" s="1" t="s">
        <v>27</v>
      </c>
      <c r="Q3" s="1" t="s">
        <v>28</v>
      </c>
    </row>
    <row r="4" spans="1:20" x14ac:dyDescent="0.3">
      <c r="A4" t="s">
        <v>30</v>
      </c>
      <c r="C4" s="1">
        <v>400</v>
      </c>
      <c r="D4" s="1">
        <v>0</v>
      </c>
      <c r="E4" s="1">
        <v>300</v>
      </c>
      <c r="F4" s="1">
        <v>500</v>
      </c>
      <c r="G4" s="1">
        <v>0</v>
      </c>
      <c r="H4" s="1">
        <v>0</v>
      </c>
      <c r="I4" s="1">
        <v>0</v>
      </c>
      <c r="J4" s="1">
        <v>100</v>
      </c>
      <c r="K4" s="1">
        <v>0</v>
      </c>
      <c r="L4" s="1">
        <v>0</v>
      </c>
      <c r="M4" s="1">
        <v>800</v>
      </c>
      <c r="N4" s="1">
        <v>0</v>
      </c>
      <c r="O4" s="1">
        <v>0</v>
      </c>
      <c r="P4" s="1">
        <v>0</v>
      </c>
      <c r="Q4" s="1">
        <v>400</v>
      </c>
    </row>
    <row r="5" spans="1:20" x14ac:dyDescent="0.3">
      <c r="A5" t="s">
        <v>31</v>
      </c>
      <c r="C5" s="1">
        <v>5</v>
      </c>
      <c r="D5" s="1">
        <v>8</v>
      </c>
      <c r="E5" s="1">
        <v>6</v>
      </c>
      <c r="F5" s="1">
        <v>0</v>
      </c>
      <c r="G5" s="1">
        <v>4</v>
      </c>
      <c r="H5" s="1">
        <v>12</v>
      </c>
      <c r="I5" s="1">
        <v>4</v>
      </c>
      <c r="J5" s="1">
        <v>0</v>
      </c>
      <c r="K5" s="1">
        <v>7</v>
      </c>
      <c r="L5" s="1">
        <v>7</v>
      </c>
      <c r="M5" s="1">
        <v>2</v>
      </c>
      <c r="N5" s="1">
        <v>5</v>
      </c>
      <c r="O5" s="1">
        <v>14</v>
      </c>
      <c r="P5" s="1">
        <v>7</v>
      </c>
      <c r="Q5" s="1">
        <v>0</v>
      </c>
    </row>
    <row r="7" spans="1:20" x14ac:dyDescent="0.3">
      <c r="A7" t="s">
        <v>32</v>
      </c>
      <c r="B7" s="8">
        <f>SUMPRODUCT(C4:Q4,C5:Q5)</f>
        <v>5400</v>
      </c>
    </row>
    <row r="8" spans="1:20" x14ac:dyDescent="0.3">
      <c r="C8" s="1"/>
      <c r="D8" s="1"/>
      <c r="E8" s="1"/>
    </row>
    <row r="9" spans="1:20" x14ac:dyDescent="0.3">
      <c r="C9" s="1"/>
      <c r="D9" s="1"/>
      <c r="E9" s="1"/>
    </row>
    <row r="10" spans="1:20" x14ac:dyDescent="0.3">
      <c r="A10" s="3" t="s">
        <v>10</v>
      </c>
      <c r="B10" s="4"/>
      <c r="C10" s="4"/>
      <c r="D10" s="4"/>
      <c r="E10" s="4"/>
      <c r="F10" s="4"/>
      <c r="G10" s="4"/>
      <c r="H10" s="4"/>
      <c r="I10" s="4"/>
      <c r="J10" s="4"/>
      <c r="K10" s="4"/>
      <c r="L10" s="4"/>
      <c r="M10" s="4"/>
      <c r="N10" s="4"/>
      <c r="O10" s="4"/>
      <c r="P10" s="4"/>
      <c r="Q10" s="4"/>
      <c r="R10" s="4" t="s">
        <v>11</v>
      </c>
      <c r="S10" s="4" t="s">
        <v>41</v>
      </c>
      <c r="T10" s="4" t="s">
        <v>12</v>
      </c>
    </row>
    <row r="11" spans="1:20" x14ac:dyDescent="0.3">
      <c r="A11" s="3" t="s">
        <v>35</v>
      </c>
      <c r="B11" s="4"/>
      <c r="C11" s="4">
        <v>1</v>
      </c>
      <c r="D11" s="4"/>
      <c r="E11" s="4"/>
      <c r="F11" s="4">
        <v>1</v>
      </c>
      <c r="G11" s="4"/>
      <c r="H11" s="4"/>
      <c r="I11" s="4">
        <v>1</v>
      </c>
      <c r="J11" s="4"/>
      <c r="K11" s="4"/>
      <c r="L11" s="4">
        <v>1</v>
      </c>
      <c r="M11" s="4"/>
      <c r="N11" s="4"/>
      <c r="O11" s="4">
        <v>1</v>
      </c>
      <c r="P11" s="4"/>
      <c r="Q11" s="4"/>
      <c r="R11" s="4">
        <f>SUMPRODUCT($C$4:$Q$4,C11:Q11)</f>
        <v>900</v>
      </c>
      <c r="S11" s="4" t="s">
        <v>42</v>
      </c>
      <c r="T11" s="4">
        <v>900</v>
      </c>
    </row>
    <row r="12" spans="1:20" x14ac:dyDescent="0.3">
      <c r="A12" s="3" t="s">
        <v>33</v>
      </c>
      <c r="B12" s="4"/>
      <c r="C12" s="4"/>
      <c r="D12" s="4">
        <v>1</v>
      </c>
      <c r="E12" s="4"/>
      <c r="F12" s="4"/>
      <c r="G12" s="4">
        <v>1</v>
      </c>
      <c r="H12" s="4"/>
      <c r="I12" s="4"/>
      <c r="J12" s="4">
        <v>1</v>
      </c>
      <c r="K12" s="4"/>
      <c r="L12" s="4"/>
      <c r="M12" s="4">
        <v>1</v>
      </c>
      <c r="N12" s="4"/>
      <c r="O12" s="4"/>
      <c r="P12" s="4">
        <v>1</v>
      </c>
      <c r="Q12" s="4"/>
      <c r="R12" s="4">
        <f t="shared" ref="R12:R13" si="0">SUMPRODUCT($C$4:$Q$4,C12:Q12)</f>
        <v>900</v>
      </c>
      <c r="S12" s="4" t="s">
        <v>42</v>
      </c>
      <c r="T12" s="4">
        <v>900</v>
      </c>
    </row>
    <row r="13" spans="1:20" x14ac:dyDescent="0.3">
      <c r="A13" s="3" t="s">
        <v>34</v>
      </c>
      <c r="B13" s="4"/>
      <c r="C13" s="4"/>
      <c r="D13" s="4"/>
      <c r="E13" s="4">
        <v>1</v>
      </c>
      <c r="F13" s="4"/>
      <c r="G13" s="4"/>
      <c r="H13" s="4">
        <v>1</v>
      </c>
      <c r="I13" s="4"/>
      <c r="J13" s="4"/>
      <c r="K13" s="4">
        <v>1</v>
      </c>
      <c r="L13" s="4"/>
      <c r="M13" s="4"/>
      <c r="N13" s="4">
        <v>1</v>
      </c>
      <c r="O13" s="4"/>
      <c r="P13" s="4"/>
      <c r="Q13" s="4">
        <v>1</v>
      </c>
      <c r="R13" s="4">
        <f t="shared" si="0"/>
        <v>700</v>
      </c>
      <c r="S13" s="4" t="s">
        <v>42</v>
      </c>
      <c r="T13" s="4">
        <v>900</v>
      </c>
    </row>
    <row r="14" spans="1:20" x14ac:dyDescent="0.3">
      <c r="A14" s="3" t="s">
        <v>37</v>
      </c>
      <c r="B14" s="4"/>
      <c r="C14" s="4">
        <v>1</v>
      </c>
      <c r="D14" s="4">
        <v>1</v>
      </c>
      <c r="E14" s="4">
        <v>1</v>
      </c>
      <c r="F14" s="4"/>
      <c r="G14" s="4"/>
      <c r="H14" s="4"/>
      <c r="I14" s="4"/>
      <c r="J14" s="4"/>
      <c r="K14" s="4"/>
      <c r="L14" s="4"/>
      <c r="M14" s="4"/>
      <c r="N14" s="4"/>
      <c r="O14" s="4"/>
      <c r="P14" s="4"/>
      <c r="Q14" s="4"/>
      <c r="R14" s="4">
        <f>SUMPRODUCT($C$4:$Q$4,C14:Q14)</f>
        <v>700</v>
      </c>
      <c r="S14" s="4" t="s">
        <v>13</v>
      </c>
      <c r="T14" s="4">
        <v>700</v>
      </c>
    </row>
    <row r="15" spans="1:20" x14ac:dyDescent="0.3">
      <c r="A15" s="7" t="s">
        <v>36</v>
      </c>
      <c r="B15" s="4"/>
      <c r="C15" s="4"/>
      <c r="D15" s="4"/>
      <c r="E15" s="4"/>
      <c r="F15" s="4">
        <v>1</v>
      </c>
      <c r="G15" s="4">
        <v>1</v>
      </c>
      <c r="H15" s="4">
        <v>1</v>
      </c>
      <c r="I15" s="4"/>
      <c r="J15" s="4"/>
      <c r="K15" s="4"/>
      <c r="L15" s="4"/>
      <c r="M15" s="4"/>
      <c r="N15" s="4"/>
      <c r="O15" s="4"/>
      <c r="P15" s="4"/>
      <c r="Q15" s="4"/>
      <c r="R15" s="4">
        <f t="shared" ref="R15:R18" si="1">SUMPRODUCT($C$4:$Q$4,C15:Q15)</f>
        <v>500</v>
      </c>
      <c r="S15" s="4" t="s">
        <v>13</v>
      </c>
      <c r="T15" s="4">
        <v>500</v>
      </c>
    </row>
    <row r="16" spans="1:20" x14ac:dyDescent="0.3">
      <c r="A16" s="7" t="s">
        <v>38</v>
      </c>
      <c r="B16" s="4"/>
      <c r="C16" s="4"/>
      <c r="D16" s="4"/>
      <c r="E16" s="4"/>
      <c r="F16" s="4"/>
      <c r="G16" s="4"/>
      <c r="H16" s="4"/>
      <c r="I16" s="4">
        <v>1</v>
      </c>
      <c r="J16" s="4">
        <v>1</v>
      </c>
      <c r="K16" s="4">
        <v>1</v>
      </c>
      <c r="L16" s="4"/>
      <c r="M16" s="4"/>
      <c r="N16" s="4"/>
      <c r="O16" s="4"/>
      <c r="P16" s="4"/>
      <c r="Q16" s="4"/>
      <c r="R16" s="4">
        <f t="shared" si="1"/>
        <v>100</v>
      </c>
      <c r="S16" s="4" t="s">
        <v>13</v>
      </c>
      <c r="T16" s="4">
        <v>100</v>
      </c>
    </row>
    <row r="17" spans="1:20" x14ac:dyDescent="0.3">
      <c r="A17" s="7" t="s">
        <v>39</v>
      </c>
      <c r="B17" s="4"/>
      <c r="C17" s="4"/>
      <c r="D17" s="4"/>
      <c r="E17" s="4"/>
      <c r="F17" s="4"/>
      <c r="G17" s="4"/>
      <c r="H17" s="4"/>
      <c r="I17" s="4"/>
      <c r="J17" s="4"/>
      <c r="K17" s="4"/>
      <c r="L17" s="4">
        <v>1</v>
      </c>
      <c r="M17" s="4">
        <v>1</v>
      </c>
      <c r="N17" s="4">
        <v>1</v>
      </c>
      <c r="O17" s="4"/>
      <c r="P17" s="4"/>
      <c r="Q17" s="4"/>
      <c r="R17" s="4">
        <f t="shared" si="1"/>
        <v>800</v>
      </c>
      <c r="S17" s="4" t="s">
        <v>13</v>
      </c>
      <c r="T17" s="4">
        <v>800</v>
      </c>
    </row>
    <row r="18" spans="1:20" x14ac:dyDescent="0.3">
      <c r="A18" s="7" t="s">
        <v>40</v>
      </c>
      <c r="B18" s="4"/>
      <c r="C18" s="4"/>
      <c r="D18" s="4"/>
      <c r="E18" s="4"/>
      <c r="F18" s="4"/>
      <c r="G18" s="4"/>
      <c r="H18" s="4"/>
      <c r="I18" s="4"/>
      <c r="J18" s="4"/>
      <c r="K18" s="4"/>
      <c r="L18" s="4"/>
      <c r="M18" s="4"/>
      <c r="N18" s="4"/>
      <c r="O18" s="4">
        <v>1</v>
      </c>
      <c r="P18" s="4">
        <v>1</v>
      </c>
      <c r="Q18" s="4">
        <v>1</v>
      </c>
      <c r="R18" s="4">
        <f t="shared" si="1"/>
        <v>400</v>
      </c>
      <c r="S18" s="4" t="s">
        <v>13</v>
      </c>
      <c r="T18" s="4">
        <v>400</v>
      </c>
    </row>
    <row r="21" spans="1:20" x14ac:dyDescent="0.3">
      <c r="B21" t="s">
        <v>43</v>
      </c>
    </row>
    <row r="22" spans="1:20" x14ac:dyDescent="0.3">
      <c r="A22" s="5"/>
      <c r="B22" s="5"/>
      <c r="C22" s="5"/>
      <c r="D22" s="5"/>
      <c r="E22" s="5"/>
      <c r="F22" s="6"/>
      <c r="G22" s="6"/>
      <c r="H22" s="6"/>
    </row>
    <row r="23" spans="1:20" x14ac:dyDescent="0.3">
      <c r="A23" s="5"/>
      <c r="B23" s="5"/>
      <c r="C23" s="6"/>
      <c r="D23" s="6"/>
      <c r="E23" s="6"/>
      <c r="F23" s="6"/>
      <c r="G23" s="6"/>
      <c r="H23" s="6"/>
    </row>
    <row r="24" spans="1:20" x14ac:dyDescent="0.3">
      <c r="A24" s="5"/>
      <c r="B24" s="5"/>
      <c r="C24" s="6"/>
      <c r="D24" s="6"/>
      <c r="E24" s="6"/>
      <c r="F24" s="6"/>
      <c r="G24" s="6"/>
      <c r="H24" s="6"/>
    </row>
    <row r="25" spans="1:20" x14ac:dyDescent="0.3">
      <c r="A25" s="5"/>
      <c r="B25" s="5"/>
      <c r="C25" s="6"/>
      <c r="D25" s="6"/>
      <c r="E25" s="6"/>
      <c r="F25" s="6"/>
      <c r="G25" s="6"/>
      <c r="H25" s="6"/>
    </row>
    <row r="26" spans="1:20" x14ac:dyDescent="0.3">
      <c r="A26" s="5"/>
      <c r="B26" s="5"/>
      <c r="C26" s="6"/>
      <c r="D26" s="6"/>
      <c r="E26" s="6"/>
      <c r="F26" s="6"/>
      <c r="G26" s="6"/>
      <c r="H26" s="6"/>
    </row>
    <row r="27" spans="1:20" x14ac:dyDescent="0.3">
      <c r="A27" s="5"/>
      <c r="B27" s="5"/>
      <c r="C27" s="6"/>
      <c r="D27" s="6"/>
      <c r="E27" s="6"/>
      <c r="F27" s="6"/>
      <c r="G27" s="6"/>
      <c r="H27"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A307D-A4B7-4A5A-AC55-60CF27C4D365}">
  <dimension ref="B10:F15"/>
  <sheetViews>
    <sheetView workbookViewId="0">
      <selection activeCell="F19" sqref="F19"/>
    </sheetView>
  </sheetViews>
  <sheetFormatPr defaultRowHeight="14.4" x14ac:dyDescent="0.3"/>
  <cols>
    <col min="3" max="3" width="29.6640625" bestFit="1" customWidth="1"/>
    <col min="4" max="4" width="29.88671875" bestFit="1" customWidth="1"/>
    <col min="5" max="5" width="30.109375" bestFit="1" customWidth="1"/>
    <col min="6" max="6" width="18.21875" bestFit="1" customWidth="1"/>
  </cols>
  <sheetData>
    <row r="10" spans="2:6" x14ac:dyDescent="0.3">
      <c r="B10" s="1" t="s">
        <v>0</v>
      </c>
      <c r="C10" s="2" t="s">
        <v>1</v>
      </c>
      <c r="D10" s="2" t="s">
        <v>2</v>
      </c>
      <c r="E10" s="2" t="s">
        <v>3</v>
      </c>
      <c r="F10" s="2" t="s">
        <v>4</v>
      </c>
    </row>
    <row r="11" spans="2:6" x14ac:dyDescent="0.3">
      <c r="B11" s="1" t="s">
        <v>5</v>
      </c>
      <c r="C11" s="1">
        <v>5</v>
      </c>
      <c r="D11" s="1">
        <v>8</v>
      </c>
      <c r="E11" s="1">
        <v>6</v>
      </c>
      <c r="F11" s="1">
        <v>700</v>
      </c>
    </row>
    <row r="12" spans="2:6" x14ac:dyDescent="0.3">
      <c r="B12" s="1" t="s">
        <v>6</v>
      </c>
      <c r="C12" s="1">
        <v>0</v>
      </c>
      <c r="D12" s="1">
        <v>4</v>
      </c>
      <c r="E12" s="1">
        <v>12</v>
      </c>
      <c r="F12" s="1">
        <v>500</v>
      </c>
    </row>
    <row r="13" spans="2:6" x14ac:dyDescent="0.3">
      <c r="B13" s="1" t="s">
        <v>7</v>
      </c>
      <c r="C13" s="1">
        <v>4</v>
      </c>
      <c r="D13" s="1">
        <v>0</v>
      </c>
      <c r="E13" s="1">
        <v>7</v>
      </c>
      <c r="F13" s="1">
        <v>100</v>
      </c>
    </row>
    <row r="14" spans="2:6" x14ac:dyDescent="0.3">
      <c r="B14" s="1" t="s">
        <v>8</v>
      </c>
      <c r="C14" s="1">
        <v>7</v>
      </c>
      <c r="D14" s="1">
        <v>2</v>
      </c>
      <c r="E14" s="1">
        <v>5</v>
      </c>
      <c r="F14" s="1">
        <v>800</v>
      </c>
    </row>
    <row r="15" spans="2:6" x14ac:dyDescent="0.3">
      <c r="B15" s="1" t="s">
        <v>9</v>
      </c>
      <c r="C15" s="1">
        <v>14</v>
      </c>
      <c r="D15" s="1">
        <v>7</v>
      </c>
      <c r="E15" s="1">
        <v>0</v>
      </c>
      <c r="F15" s="1">
        <v>400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problem_statement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vipin kumar pandey</dc:creator>
  <cp:lastModifiedBy>vipin kumar pandey</cp:lastModifiedBy>
  <dcterms:created xsi:type="dcterms:W3CDTF">2025-10-05T14:55:20Z</dcterms:created>
  <dcterms:modified xsi:type="dcterms:W3CDTF">2025-10-05T22:53:09Z</dcterms:modified>
</cp:coreProperties>
</file>