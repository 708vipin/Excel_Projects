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pvipi\Desktop\VIP_GitHub\Excel_Projects\Automobile_Sector_Projects\Transportation_Problem\"/>
    </mc:Choice>
  </mc:AlternateContent>
  <xr:revisionPtr revIDLastSave="0" documentId="13_ncr:1_{EB079E28-9E36-45EB-9150-EDCC9CB8AAE7}" xr6:coauthVersionLast="47" xr6:coauthVersionMax="47" xr10:uidLastSave="{00000000-0000-0000-0000-000000000000}"/>
  <bookViews>
    <workbookView xWindow="-108" yWindow="-108" windowWidth="23256" windowHeight="12456" xr2:uid="{CE6EC854-2F38-403E-B71E-C82C34D64A13}"/>
  </bookViews>
  <sheets>
    <sheet name="Sheet1" sheetId="1" r:id="rId1"/>
    <sheet name="problem_statement" sheetId="2" r:id="rId2"/>
  </sheets>
  <definedNames>
    <definedName name="solver_adj" localSheetId="0" hidden="1">Sheet1!$C$4:$Q$4</definedName>
    <definedName name="solver_cvg" localSheetId="0" hidden="1">0.0001</definedName>
    <definedName name="solver_drv" localSheetId="0" hidden="1">1</definedName>
    <definedName name="solver_eng" localSheetId="0" hidden="1">2</definedName>
    <definedName name="solver_est" localSheetId="0" hidden="1">1</definedName>
    <definedName name="solver_itr" localSheetId="0" hidden="1">2147483647</definedName>
    <definedName name="solver_lhs1" localSheetId="0" hidden="1">Sheet1!$R$11</definedName>
    <definedName name="solver_lhs2" localSheetId="0" hidden="1">Sheet1!$R$12</definedName>
    <definedName name="solver_lhs3" localSheetId="0" hidden="1">Sheet1!$R$13</definedName>
    <definedName name="solver_lhs4" localSheetId="0" hidden="1">Sheet1!$R$14</definedName>
    <definedName name="solver_lhs5" localSheetId="0" hidden="1">Sheet1!$R$15</definedName>
    <definedName name="solver_lhs6" localSheetId="0" hidden="1">Sheet1!$R$16</definedName>
    <definedName name="solver_lhs7" localSheetId="0" hidden="1">Sheet1!$R$17</definedName>
    <definedName name="solver_lhs8" localSheetId="0" hidden="1">Sheet1!$R$18</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8</definedName>
    <definedName name="solver_nwt" localSheetId="0" hidden="1">1</definedName>
    <definedName name="solver_opt" localSheetId="0" hidden="1">Sheet1!$B$7</definedName>
    <definedName name="solver_pre" localSheetId="0" hidden="1">0.000001</definedName>
    <definedName name="solver_rbv" localSheetId="0" hidden="1">1</definedName>
    <definedName name="solver_rel1" localSheetId="0" hidden="1">1</definedName>
    <definedName name="solver_rel2" localSheetId="0" hidden="1">1</definedName>
    <definedName name="solver_rel3" localSheetId="0" hidden="1">1</definedName>
    <definedName name="solver_rel4" localSheetId="0" hidden="1">2</definedName>
    <definedName name="solver_rel5" localSheetId="0" hidden="1">2</definedName>
    <definedName name="solver_rel6" localSheetId="0" hidden="1">2</definedName>
    <definedName name="solver_rel7" localSheetId="0" hidden="1">2</definedName>
    <definedName name="solver_rel8" localSheetId="0" hidden="1">2</definedName>
    <definedName name="solver_rhs1" localSheetId="0" hidden="1">Sheet1!$T$11</definedName>
    <definedName name="solver_rhs2" localSheetId="0" hidden="1">Sheet1!$T$12</definedName>
    <definedName name="solver_rhs3" localSheetId="0" hidden="1">Sheet1!$T$13</definedName>
    <definedName name="solver_rhs4" localSheetId="0" hidden="1">Sheet1!$T$14</definedName>
    <definedName name="solver_rhs5" localSheetId="0" hidden="1">Sheet1!$T$15</definedName>
    <definedName name="solver_rhs6" localSheetId="0" hidden="1">Sheet1!$T$16</definedName>
    <definedName name="solver_rhs7" localSheetId="0" hidden="1">Sheet1!$T$17</definedName>
    <definedName name="solver_rhs8" localSheetId="0" hidden="1">Sheet1!$T$18</definedName>
    <definedName name="solver_rlx" localSheetId="0" hidden="1">2</definedName>
    <definedName name="solver_rsd" localSheetId="0" hidden="1">0</definedName>
    <definedName name="solver_scl" localSheetId="0" hidden="1">1</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2</definedName>
    <definedName name="solver_val" localSheetId="0" hidden="1">0</definedName>
    <definedName name="solver_ver" localSheetId="0"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5" i="1" l="1"/>
  <c r="R16" i="1"/>
  <c r="R17" i="1"/>
  <c r="R18" i="1"/>
  <c r="R14" i="1"/>
  <c r="R12" i="1"/>
  <c r="R13" i="1"/>
  <c r="R11" i="1"/>
  <c r="B7" i="1"/>
</calcChain>
</file>

<file path=xl/sharedStrings.xml><?xml version="1.0" encoding="utf-8"?>
<sst xmlns="http://schemas.openxmlformats.org/spreadsheetml/2006/main" count="50" uniqueCount="44">
  <si>
    <t>Sector</t>
  </si>
  <si>
    <t>Distance to Kyoko HS (in Sector B)</t>
  </si>
  <si>
    <t>Distance to Devon HS (in Sector C)</t>
  </si>
  <si>
    <t>Distance to Manny HS (in Sector E)</t>
  </si>
  <si>
    <t>Number of Students</t>
  </si>
  <si>
    <t>A</t>
  </si>
  <si>
    <t>B</t>
  </si>
  <si>
    <t>C</t>
  </si>
  <si>
    <t>D</t>
  </si>
  <si>
    <t>E</t>
  </si>
  <si>
    <t>Constraints:</t>
  </si>
  <si>
    <t>LHS</t>
  </si>
  <si>
    <t>RHS</t>
  </si>
  <si>
    <t>=</t>
  </si>
  <si>
    <t>AB</t>
  </si>
  <si>
    <t>AC</t>
  </si>
  <si>
    <t>AE</t>
  </si>
  <si>
    <t>BC</t>
  </si>
  <si>
    <t>BB</t>
  </si>
  <si>
    <t>BE</t>
  </si>
  <si>
    <t>CB</t>
  </si>
  <si>
    <t>CC</t>
  </si>
  <si>
    <t>CE</t>
  </si>
  <si>
    <t>DB</t>
  </si>
  <si>
    <t>DC</t>
  </si>
  <si>
    <t>DE</t>
  </si>
  <si>
    <t>EB</t>
  </si>
  <si>
    <t>EC</t>
  </si>
  <si>
    <t>EE</t>
  </si>
  <si>
    <t>Routes:</t>
  </si>
  <si>
    <t>No. of Students:</t>
  </si>
  <si>
    <t>Distance of schools from sectors:</t>
  </si>
  <si>
    <t>Objective (Min. distance travelled):</t>
  </si>
  <si>
    <t>900 students in school C:</t>
  </si>
  <si>
    <t>900 students in school E:</t>
  </si>
  <si>
    <t>900 students in school B:</t>
  </si>
  <si>
    <t>500 from sector B:</t>
  </si>
  <si>
    <t>700 from sector A:</t>
  </si>
  <si>
    <t>100 from sector C:</t>
  </si>
  <si>
    <t>800 from sector D:</t>
  </si>
  <si>
    <t>400 from sector E:</t>
  </si>
  <si>
    <t>Sign</t>
  </si>
  <si>
    <t>&lt;=</t>
  </si>
  <si>
    <t>The minimum distance travelled under the given conditions is, 5400 miles.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</si>
</sst>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rgb="FF0F1114"/>
      <name val="Source Sans Pro"/>
      <family val="2"/>
    </font>
  </fonts>
  <fills count="3">
    <fill>
      <patternFill patternType="none"/>
    </fill>
    <fill>
      <patternFill patternType="gray125"/>
    </fill>
    <fill>
      <patternFill patternType="solid">
        <fgColor theme="6"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horizontal="center"/>
    </xf>
    <xf numFmtId="0" fontId="1" fillId="0" borderId="0" xfId="0" applyFont="1" applyAlignment="1">
      <alignment horizontal="center"/>
    </xf>
    <xf numFmtId="0" fontId="0" fillId="0" borderId="1" xfId="0" applyBorder="1"/>
    <xf numFmtId="0" fontId="0" fillId="0" borderId="1" xfId="0" applyBorder="1" applyAlignment="1">
      <alignment horizontal="center"/>
    </xf>
    <xf numFmtId="0" fontId="0" fillId="0" borderId="0" xfId="0" applyBorder="1"/>
    <xf numFmtId="0" fontId="0" fillId="0" borderId="0" xfId="0" applyBorder="1" applyAlignment="1">
      <alignment horizontal="center"/>
    </xf>
    <xf numFmtId="0" fontId="0" fillId="0" borderId="1" xfId="0" applyBorder="1" applyAlignment="1">
      <alignment horizontal="left"/>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7620</xdr:colOff>
      <xdr:row>0</xdr:row>
      <xdr:rowOff>175260</xdr:rowOff>
    </xdr:from>
    <xdr:to>
      <xdr:col>12</xdr:col>
      <xdr:colOff>99060</xdr:colOff>
      <xdr:row>7</xdr:row>
      <xdr:rowOff>38100</xdr:rowOff>
    </xdr:to>
    <xdr:sp macro="" textlink="">
      <xdr:nvSpPr>
        <xdr:cNvPr id="2" name="TextBox 1">
          <a:extLst>
            <a:ext uri="{FF2B5EF4-FFF2-40B4-BE49-F238E27FC236}">
              <a16:creationId xmlns:a16="http://schemas.microsoft.com/office/drawing/2014/main" id="{085112B7-237C-BFAE-D385-8B42CEEE8DF7}"/>
            </a:ext>
          </a:extLst>
        </xdr:cNvPr>
        <xdr:cNvSpPr txBox="1"/>
      </xdr:nvSpPr>
      <xdr:spPr>
        <a:xfrm>
          <a:off x="617220" y="175260"/>
          <a:ext cx="11757660" cy="114300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a:solidFill>
                <a:schemeClr val="dk1"/>
              </a:solidFill>
              <a:effectLst/>
              <a:latin typeface="+mn-lt"/>
              <a:ea typeface="+mn-ea"/>
              <a:cs typeface="+mn-cs"/>
            </a:rPr>
            <a:t>Johns Hopkins is setting up three Charter schools in Baltimore City: Kyoko HS, Devon HS, and Manny HS. Each high school has a capacity of 900 students. The Mayor hires your company to assign accepted students to these three new high schools.  Busses will be provided to students who live more than walking distance (defined as 1.5 miles) to the schools. Baltimore City has been partitioned into five neighborhoods: A, B, C, D and E.  Kyoko HS is in sector B, Devon HS is in sector C, and Manny HS is in sector E. If a student lives in a sector and is assigned to the high school in that sector, the student can walk to school and does not get a bus. All students must be assigned a school. The table below shows the distance (in miles) from each sector to each school. Minimize the total student miles travelled by bus. </a:t>
          </a:r>
          <a:endParaRPr lang="en-IN"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EFA35-54FF-4F7B-A17D-4AA718A5BEFD}">
  <dimension ref="A3:T27"/>
  <sheetViews>
    <sheetView tabSelected="1" workbookViewId="0">
      <selection activeCell="B21" sqref="B21"/>
    </sheetView>
  </sheetViews>
  <sheetFormatPr defaultRowHeight="14.4" x14ac:dyDescent="0.3"/>
  <cols>
    <col min="1" max="1" width="28.5546875" bestFit="1" customWidth="1"/>
    <col min="3" max="5" width="8.88671875" customWidth="1"/>
  </cols>
  <sheetData>
    <row r="3" spans="1:20" x14ac:dyDescent="0.3">
      <c r="A3" t="s">
        <v>29</v>
      </c>
      <c r="C3" s="1" t="s">
        <v>14</v>
      </c>
      <c r="D3" s="1" t="s">
        <v>15</v>
      </c>
      <c r="E3" s="1" t="s">
        <v>16</v>
      </c>
      <c r="F3" s="1" t="s">
        <v>18</v>
      </c>
      <c r="G3" s="1" t="s">
        <v>17</v>
      </c>
      <c r="H3" s="1" t="s">
        <v>19</v>
      </c>
      <c r="I3" s="1" t="s">
        <v>20</v>
      </c>
      <c r="J3" s="1" t="s">
        <v>21</v>
      </c>
      <c r="K3" s="1" t="s">
        <v>22</v>
      </c>
      <c r="L3" s="1" t="s">
        <v>23</v>
      </c>
      <c r="M3" s="1" t="s">
        <v>24</v>
      </c>
      <c r="N3" s="1" t="s">
        <v>25</v>
      </c>
      <c r="O3" s="1" t="s">
        <v>26</v>
      </c>
      <c r="P3" s="1" t="s">
        <v>27</v>
      </c>
      <c r="Q3" s="1" t="s">
        <v>28</v>
      </c>
    </row>
    <row r="4" spans="1:20" x14ac:dyDescent="0.3">
      <c r="A4" t="s">
        <v>30</v>
      </c>
      <c r="C4" s="1">
        <v>400</v>
      </c>
      <c r="D4" s="1">
        <v>0</v>
      </c>
      <c r="E4" s="1">
        <v>300</v>
      </c>
      <c r="F4" s="1">
        <v>500</v>
      </c>
      <c r="G4" s="1">
        <v>0</v>
      </c>
      <c r="H4" s="1">
        <v>0</v>
      </c>
      <c r="I4" s="1">
        <v>0</v>
      </c>
      <c r="J4" s="1">
        <v>100</v>
      </c>
      <c r="K4" s="1">
        <v>0</v>
      </c>
      <c r="L4" s="1">
        <v>0</v>
      </c>
      <c r="M4" s="1">
        <v>800</v>
      </c>
      <c r="N4" s="1">
        <v>0</v>
      </c>
      <c r="O4" s="1">
        <v>0</v>
      </c>
      <c r="P4" s="1">
        <v>0</v>
      </c>
      <c r="Q4" s="1">
        <v>400</v>
      </c>
    </row>
    <row r="5" spans="1:20" x14ac:dyDescent="0.3">
      <c r="A5" t="s">
        <v>31</v>
      </c>
      <c r="C5" s="1">
        <v>5</v>
      </c>
      <c r="D5" s="1">
        <v>8</v>
      </c>
      <c r="E5" s="1">
        <v>6</v>
      </c>
      <c r="F5" s="1">
        <v>0</v>
      </c>
      <c r="G5" s="1">
        <v>4</v>
      </c>
      <c r="H5" s="1">
        <v>12</v>
      </c>
      <c r="I5" s="1">
        <v>4</v>
      </c>
      <c r="J5" s="1">
        <v>0</v>
      </c>
      <c r="K5" s="1">
        <v>7</v>
      </c>
      <c r="L5" s="1">
        <v>7</v>
      </c>
      <c r="M5" s="1">
        <v>2</v>
      </c>
      <c r="N5" s="1">
        <v>5</v>
      </c>
      <c r="O5" s="1">
        <v>14</v>
      </c>
      <c r="P5" s="1">
        <v>7</v>
      </c>
      <c r="Q5" s="1">
        <v>0</v>
      </c>
    </row>
    <row r="7" spans="1:20" x14ac:dyDescent="0.3">
      <c r="A7" t="s">
        <v>32</v>
      </c>
      <c r="B7" s="8">
        <f>SUMPRODUCT(C4:Q4,C5:Q5)</f>
        <v>5400</v>
      </c>
    </row>
    <row r="8" spans="1:20" x14ac:dyDescent="0.3">
      <c r="C8" s="1"/>
      <c r="D8" s="1"/>
      <c r="E8" s="1"/>
    </row>
    <row r="9" spans="1:20" x14ac:dyDescent="0.3">
      <c r="C9" s="1"/>
      <c r="D9" s="1"/>
      <c r="E9" s="1"/>
    </row>
    <row r="10" spans="1:20" x14ac:dyDescent="0.3">
      <c r="A10" s="3" t="s">
        <v>10</v>
      </c>
      <c r="B10" s="4"/>
      <c r="C10" s="4"/>
      <c r="D10" s="4"/>
      <c r="E10" s="4"/>
      <c r="F10" s="4"/>
      <c r="G10" s="4"/>
      <c r="H10" s="4"/>
      <c r="I10" s="4"/>
      <c r="J10" s="4"/>
      <c r="K10" s="4"/>
      <c r="L10" s="4"/>
      <c r="M10" s="4"/>
      <c r="N10" s="4"/>
      <c r="O10" s="4"/>
      <c r="P10" s="4"/>
      <c r="Q10" s="4"/>
      <c r="R10" s="4" t="s">
        <v>11</v>
      </c>
      <c r="S10" s="4" t="s">
        <v>41</v>
      </c>
      <c r="T10" s="4" t="s">
        <v>12</v>
      </c>
    </row>
    <row r="11" spans="1:20" x14ac:dyDescent="0.3">
      <c r="A11" s="3" t="s">
        <v>35</v>
      </c>
      <c r="B11" s="4"/>
      <c r="C11" s="4">
        <v>1</v>
      </c>
      <c r="D11" s="4"/>
      <c r="E11" s="4"/>
      <c r="F11" s="4">
        <v>1</v>
      </c>
      <c r="G11" s="4"/>
      <c r="H11" s="4"/>
      <c r="I11" s="4">
        <v>1</v>
      </c>
      <c r="J11" s="4"/>
      <c r="K11" s="4"/>
      <c r="L11" s="4">
        <v>1</v>
      </c>
      <c r="M11" s="4"/>
      <c r="N11" s="4"/>
      <c r="O11" s="4">
        <v>1</v>
      </c>
      <c r="P11" s="4"/>
      <c r="Q11" s="4"/>
      <c r="R11" s="4">
        <f>SUMPRODUCT($C$4:$Q$4,C11:Q11)</f>
        <v>900</v>
      </c>
      <c r="S11" s="4" t="s">
        <v>42</v>
      </c>
      <c r="T11" s="4">
        <v>900</v>
      </c>
    </row>
    <row r="12" spans="1:20" x14ac:dyDescent="0.3">
      <c r="A12" s="3" t="s">
        <v>33</v>
      </c>
      <c r="B12" s="4"/>
      <c r="C12" s="4"/>
      <c r="D12" s="4">
        <v>1</v>
      </c>
      <c r="E12" s="4"/>
      <c r="F12" s="4"/>
      <c r="G12" s="4">
        <v>1</v>
      </c>
      <c r="H12" s="4"/>
      <c r="I12" s="4"/>
      <c r="J12" s="4">
        <v>1</v>
      </c>
      <c r="K12" s="4"/>
      <c r="L12" s="4"/>
      <c r="M12" s="4">
        <v>1</v>
      </c>
      <c r="N12" s="4"/>
      <c r="O12" s="4"/>
      <c r="P12" s="4">
        <v>1</v>
      </c>
      <c r="Q12" s="4"/>
      <c r="R12" s="4">
        <f t="shared" ref="R12:R13" si="0">SUMPRODUCT($C$4:$Q$4,C12:Q12)</f>
        <v>900</v>
      </c>
      <c r="S12" s="4" t="s">
        <v>42</v>
      </c>
      <c r="T12" s="4">
        <v>900</v>
      </c>
    </row>
    <row r="13" spans="1:20" x14ac:dyDescent="0.3">
      <c r="A13" s="3" t="s">
        <v>34</v>
      </c>
      <c r="B13" s="4"/>
      <c r="C13" s="4"/>
      <c r="D13" s="4"/>
      <c r="E13" s="4">
        <v>1</v>
      </c>
      <c r="F13" s="4"/>
      <c r="G13" s="4"/>
      <c r="H13" s="4">
        <v>1</v>
      </c>
      <c r="I13" s="4"/>
      <c r="J13" s="4"/>
      <c r="K13" s="4">
        <v>1</v>
      </c>
      <c r="L13" s="4"/>
      <c r="M13" s="4"/>
      <c r="N13" s="4">
        <v>1</v>
      </c>
      <c r="O13" s="4"/>
      <c r="P13" s="4"/>
      <c r="Q13" s="4">
        <v>1</v>
      </c>
      <c r="R13" s="4">
        <f t="shared" si="0"/>
        <v>700</v>
      </c>
      <c r="S13" s="4" t="s">
        <v>42</v>
      </c>
      <c r="T13" s="4">
        <v>900</v>
      </c>
    </row>
    <row r="14" spans="1:20" x14ac:dyDescent="0.3">
      <c r="A14" s="3" t="s">
        <v>37</v>
      </c>
      <c r="B14" s="4"/>
      <c r="C14" s="4">
        <v>1</v>
      </c>
      <c r="D14" s="4">
        <v>1</v>
      </c>
      <c r="E14" s="4">
        <v>1</v>
      </c>
      <c r="F14" s="4"/>
      <c r="G14" s="4"/>
      <c r="H14" s="4"/>
      <c r="I14" s="4"/>
      <c r="J14" s="4"/>
      <c r="K14" s="4"/>
      <c r="L14" s="4"/>
      <c r="M14" s="4"/>
      <c r="N14" s="4"/>
      <c r="O14" s="4"/>
      <c r="P14" s="4"/>
      <c r="Q14" s="4"/>
      <c r="R14" s="4">
        <f>SUMPRODUCT($C$4:$Q$4,C14:Q14)</f>
        <v>700</v>
      </c>
      <c r="S14" s="4" t="s">
        <v>13</v>
      </c>
      <c r="T14" s="4">
        <v>700</v>
      </c>
    </row>
    <row r="15" spans="1:20" x14ac:dyDescent="0.3">
      <c r="A15" s="7" t="s">
        <v>36</v>
      </c>
      <c r="B15" s="4"/>
      <c r="C15" s="4"/>
      <c r="D15" s="4"/>
      <c r="E15" s="4"/>
      <c r="F15" s="4">
        <v>1</v>
      </c>
      <c r="G15" s="4">
        <v>1</v>
      </c>
      <c r="H15" s="4">
        <v>1</v>
      </c>
      <c r="I15" s="4"/>
      <c r="J15" s="4"/>
      <c r="K15" s="4"/>
      <c r="L15" s="4"/>
      <c r="M15" s="4"/>
      <c r="N15" s="4"/>
      <c r="O15" s="4"/>
      <c r="P15" s="4"/>
      <c r="Q15" s="4"/>
      <c r="R15" s="4">
        <f t="shared" ref="R15:R18" si="1">SUMPRODUCT($C$4:$Q$4,C15:Q15)</f>
        <v>500</v>
      </c>
      <c r="S15" s="4" t="s">
        <v>13</v>
      </c>
      <c r="T15" s="4">
        <v>500</v>
      </c>
    </row>
    <row r="16" spans="1:20" x14ac:dyDescent="0.3">
      <c r="A16" s="7" t="s">
        <v>38</v>
      </c>
      <c r="B16" s="4"/>
      <c r="C16" s="4"/>
      <c r="D16" s="4"/>
      <c r="E16" s="4"/>
      <c r="F16" s="4"/>
      <c r="G16" s="4"/>
      <c r="H16" s="4"/>
      <c r="I16" s="4">
        <v>1</v>
      </c>
      <c r="J16" s="4">
        <v>1</v>
      </c>
      <c r="K16" s="4">
        <v>1</v>
      </c>
      <c r="L16" s="4"/>
      <c r="M16" s="4"/>
      <c r="N16" s="4"/>
      <c r="O16" s="4"/>
      <c r="P16" s="4"/>
      <c r="Q16" s="4"/>
      <c r="R16" s="4">
        <f t="shared" si="1"/>
        <v>100</v>
      </c>
      <c r="S16" s="4" t="s">
        <v>13</v>
      </c>
      <c r="T16" s="4">
        <v>100</v>
      </c>
    </row>
    <row r="17" spans="1:20" x14ac:dyDescent="0.3">
      <c r="A17" s="7" t="s">
        <v>39</v>
      </c>
      <c r="B17" s="4"/>
      <c r="C17" s="4"/>
      <c r="D17" s="4"/>
      <c r="E17" s="4"/>
      <c r="F17" s="4"/>
      <c r="G17" s="4"/>
      <c r="H17" s="4"/>
      <c r="I17" s="4"/>
      <c r="J17" s="4"/>
      <c r="K17" s="4"/>
      <c r="L17" s="4">
        <v>1</v>
      </c>
      <c r="M17" s="4">
        <v>1</v>
      </c>
      <c r="N17" s="4">
        <v>1</v>
      </c>
      <c r="O17" s="4"/>
      <c r="P17" s="4"/>
      <c r="Q17" s="4"/>
      <c r="R17" s="4">
        <f t="shared" si="1"/>
        <v>800</v>
      </c>
      <c r="S17" s="4" t="s">
        <v>13</v>
      </c>
      <c r="T17" s="4">
        <v>800</v>
      </c>
    </row>
    <row r="18" spans="1:20" x14ac:dyDescent="0.3">
      <c r="A18" s="7" t="s">
        <v>40</v>
      </c>
      <c r="B18" s="4"/>
      <c r="C18" s="4"/>
      <c r="D18" s="4"/>
      <c r="E18" s="4"/>
      <c r="F18" s="4"/>
      <c r="G18" s="4"/>
      <c r="H18" s="4"/>
      <c r="I18" s="4"/>
      <c r="J18" s="4"/>
      <c r="K18" s="4"/>
      <c r="L18" s="4"/>
      <c r="M18" s="4"/>
      <c r="N18" s="4"/>
      <c r="O18" s="4">
        <v>1</v>
      </c>
      <c r="P18" s="4">
        <v>1</v>
      </c>
      <c r="Q18" s="4">
        <v>1</v>
      </c>
      <c r="R18" s="4">
        <f t="shared" si="1"/>
        <v>400</v>
      </c>
      <c r="S18" s="4" t="s">
        <v>13</v>
      </c>
      <c r="T18" s="4">
        <v>400</v>
      </c>
    </row>
    <row r="21" spans="1:20" x14ac:dyDescent="0.3">
      <c r="B21" t="s">
        <v>43</v>
      </c>
    </row>
    <row r="22" spans="1:20" x14ac:dyDescent="0.3">
      <c r="A22" s="5"/>
      <c r="B22" s="5"/>
      <c r="C22" s="5"/>
      <c r="D22" s="5"/>
      <c r="E22" s="5"/>
      <c r="F22" s="6"/>
      <c r="G22" s="6"/>
      <c r="H22" s="6"/>
    </row>
    <row r="23" spans="1:20" x14ac:dyDescent="0.3">
      <c r="A23" s="5"/>
      <c r="B23" s="5"/>
      <c r="C23" s="6"/>
      <c r="D23" s="6"/>
      <c r="E23" s="6"/>
      <c r="F23" s="6"/>
      <c r="G23" s="6"/>
      <c r="H23" s="6"/>
    </row>
    <row r="24" spans="1:20" x14ac:dyDescent="0.3">
      <c r="A24" s="5"/>
      <c r="B24" s="5"/>
      <c r="C24" s="6"/>
      <c r="D24" s="6"/>
      <c r="E24" s="6"/>
      <c r="F24" s="6"/>
      <c r="G24" s="6"/>
      <c r="H24" s="6"/>
    </row>
    <row r="25" spans="1:20" x14ac:dyDescent="0.3">
      <c r="A25" s="5"/>
      <c r="B25" s="5"/>
      <c r="C25" s="6"/>
      <c r="D25" s="6"/>
      <c r="E25" s="6"/>
      <c r="F25" s="6"/>
      <c r="G25" s="6"/>
      <c r="H25" s="6"/>
    </row>
    <row r="26" spans="1:20" x14ac:dyDescent="0.3">
      <c r="A26" s="5"/>
      <c r="B26" s="5"/>
      <c r="C26" s="6"/>
      <c r="D26" s="6"/>
      <c r="E26" s="6"/>
      <c r="F26" s="6"/>
      <c r="G26" s="6"/>
      <c r="H26" s="6"/>
    </row>
    <row r="27" spans="1:20" x14ac:dyDescent="0.3">
      <c r="A27" s="5"/>
      <c r="B27" s="5"/>
      <c r="C27" s="6"/>
      <c r="D27" s="6"/>
      <c r="E27" s="6"/>
      <c r="F27" s="6"/>
      <c r="G27" s="6"/>
      <c r="H27"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A307D-A4B7-4A5A-AC55-60CF27C4D365}">
  <dimension ref="B10:F15"/>
  <sheetViews>
    <sheetView workbookViewId="0">
      <selection activeCell="F19" sqref="F19"/>
    </sheetView>
  </sheetViews>
  <sheetFormatPr defaultRowHeight="14.4" x14ac:dyDescent="0.3"/>
  <cols>
    <col min="3" max="3" width="29.6640625" bestFit="1" customWidth="1"/>
    <col min="4" max="4" width="29.88671875" bestFit="1" customWidth="1"/>
    <col min="5" max="5" width="30.109375" bestFit="1" customWidth="1"/>
    <col min="6" max="6" width="18.21875" bestFit="1" customWidth="1"/>
  </cols>
  <sheetData>
    <row r="10" spans="2:6" x14ac:dyDescent="0.3">
      <c r="B10" s="1" t="s">
        <v>0</v>
      </c>
      <c r="C10" s="2" t="s">
        <v>1</v>
      </c>
      <c r="D10" s="2" t="s">
        <v>2</v>
      </c>
      <c r="E10" s="2" t="s">
        <v>3</v>
      </c>
      <c r="F10" s="2" t="s">
        <v>4</v>
      </c>
    </row>
    <row r="11" spans="2:6" x14ac:dyDescent="0.3">
      <c r="B11" s="1" t="s">
        <v>5</v>
      </c>
      <c r="C11" s="1">
        <v>5</v>
      </c>
      <c r="D11" s="1">
        <v>8</v>
      </c>
      <c r="E11" s="1">
        <v>6</v>
      </c>
      <c r="F11" s="1">
        <v>700</v>
      </c>
    </row>
    <row r="12" spans="2:6" x14ac:dyDescent="0.3">
      <c r="B12" s="1" t="s">
        <v>6</v>
      </c>
      <c r="C12" s="1">
        <v>0</v>
      </c>
      <c r="D12" s="1">
        <v>4</v>
      </c>
      <c r="E12" s="1">
        <v>12</v>
      </c>
      <c r="F12" s="1">
        <v>500</v>
      </c>
    </row>
    <row r="13" spans="2:6" x14ac:dyDescent="0.3">
      <c r="B13" s="1" t="s">
        <v>7</v>
      </c>
      <c r="C13" s="1">
        <v>4</v>
      </c>
      <c r="D13" s="1">
        <v>0</v>
      </c>
      <c r="E13" s="1">
        <v>7</v>
      </c>
      <c r="F13" s="1">
        <v>100</v>
      </c>
    </row>
    <row r="14" spans="2:6" x14ac:dyDescent="0.3">
      <c r="B14" s="1" t="s">
        <v>8</v>
      </c>
      <c r="C14" s="1">
        <v>7</v>
      </c>
      <c r="D14" s="1">
        <v>2</v>
      </c>
      <c r="E14" s="1">
        <v>5</v>
      </c>
      <c r="F14" s="1">
        <v>800</v>
      </c>
    </row>
    <row r="15" spans="2:6" x14ac:dyDescent="0.3">
      <c r="B15" s="1" t="s">
        <v>9</v>
      </c>
      <c r="C15" s="1">
        <v>14</v>
      </c>
      <c r="D15" s="1">
        <v>7</v>
      </c>
      <c r="E15" s="1">
        <v>0</v>
      </c>
      <c r="F15" s="1">
        <v>400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problem_statement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vipin kumar pandey</dc:creator>
  <cp:lastModifiedBy>vipin kumar pandey</cp:lastModifiedBy>
  <dcterms:created xsi:type="dcterms:W3CDTF">2025-10-05T14:55:20Z</dcterms:created>
  <dcterms:modified xsi:type="dcterms:W3CDTF">2025-10-05T22:59:26Z</dcterms:modified>
</cp:coreProperties>
</file>