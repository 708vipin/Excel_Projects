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Financial_Sector_Projects\Investment_Allocation\"/>
    </mc:Choice>
  </mc:AlternateContent>
  <xr:revisionPtr revIDLastSave="0" documentId="13_ncr:1_{49276E18-A000-48A5-B8AF-2F96F3925217}" xr6:coauthVersionLast="47" xr6:coauthVersionMax="47" xr10:uidLastSave="{00000000-0000-0000-0000-000000000000}"/>
  <bookViews>
    <workbookView xWindow="-108" yWindow="-108" windowWidth="23256" windowHeight="12456" xr2:uid="{138FF08B-9763-4E07-B7F6-47B4B22FAA05}"/>
  </bookViews>
  <sheets>
    <sheet name="Model" sheetId="1" r:id="rId1"/>
    <sheet name="Optimal_investment" sheetId="3" r:id="rId2"/>
    <sheet name="problem_statement" sheetId="2" r:id="rId3"/>
  </sheets>
  <definedNames>
    <definedName name="solver_adj" localSheetId="0" hidden="1">Model!$C$2:$G$2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Model!$H$12</definedName>
    <definedName name="solver_lhs2" localSheetId="0" hidden="1">Model!$H$13</definedName>
    <definedName name="solver_lhs3" localSheetId="0" hidden="1">Model!$H$14</definedName>
    <definedName name="solver_lhs4" localSheetId="0" hidden="1">Model!$H$15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Model!$B$8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1</definedName>
    <definedName name="solver_rhs1" localSheetId="0" hidden="1">Model!$J$12</definedName>
    <definedName name="solver_rhs2" localSheetId="0" hidden="1">Model!$J$13</definedName>
    <definedName name="solver_rhs3" localSheetId="0" hidden="1">Model!$J$14</definedName>
    <definedName name="solver_rhs4" localSheetId="0" hidden="1">Model!$J$15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J14" i="1"/>
  <c r="H14" i="1"/>
  <c r="J13" i="1"/>
  <c r="H13" i="1"/>
  <c r="H12" i="1"/>
  <c r="D6" i="1"/>
  <c r="E6" i="1"/>
  <c r="F6" i="1"/>
  <c r="G6" i="1"/>
  <c r="C6" i="1"/>
  <c r="B8" i="1" l="1"/>
</calcChain>
</file>

<file path=xl/sharedStrings.xml><?xml version="1.0" encoding="utf-8"?>
<sst xmlns="http://schemas.openxmlformats.org/spreadsheetml/2006/main" count="37" uniqueCount="23">
  <si>
    <t>L.A. Municipal Bond</t>
  </si>
  <si>
    <t>Thompson Electronics, Inc.</t>
  </si>
  <si>
    <t>United Aerospace Corp.</t>
  </si>
  <si>
    <t>Palmer Technologies</t>
  </si>
  <si>
    <t>HDN Stock (high risk)</t>
  </si>
  <si>
    <t>Investment</t>
  </si>
  <si>
    <t>Rate of Return (%)</t>
  </si>
  <si>
    <t>Total amount to invest</t>
  </si>
  <si>
    <t>Objecive (Max RoI):</t>
  </si>
  <si>
    <t>Rate of Return (%):</t>
  </si>
  <si>
    <t>Return on Investment (RoI) ($):</t>
  </si>
  <si>
    <t>Actual Amout Invested ($):</t>
  </si>
  <si>
    <t>Constraints:</t>
  </si>
  <si>
    <t>LHS</t>
  </si>
  <si>
    <t xml:space="preserve">Sign </t>
  </si>
  <si>
    <t>RHS</t>
  </si>
  <si>
    <t>&lt;=</t>
  </si>
  <si>
    <t>Budget:</t>
  </si>
  <si>
    <t>At lest 20% in Municipal Bonds</t>
  </si>
  <si>
    <t>At least 40% in tech stocks</t>
  </si>
  <si>
    <t>No more than 50% in high risk</t>
  </si>
  <si>
    <t>&gt;=</t>
  </si>
  <si>
    <t>The optimal allocation of the investments under the given constraints are given above in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</si>
</sst>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F1114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7620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90EC1-38F2-D5DE-359D-14AB26CBD59A}"/>
            </a:ext>
          </a:extLst>
        </xdr:cNvPr>
        <xdr:cNvSpPr txBox="1"/>
      </xdr:nvSpPr>
      <xdr:spPr>
        <a:xfrm>
          <a:off x="609600" y="182880"/>
          <a:ext cx="976122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brokerage firm has been instructed by a client to invest $250,000. The client requests the firm select whatever stocks and bonds they believe are well-rated, but with the following guidelines: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Municipal bonds constitute at least 20% of investment.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least 40% of the investment is placed in tech stocks.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more than 50% of the amount invested in municipal bonds should be high risk.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The table below lists the rate of return for five different investment options.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A72D-2978-4EF0-BB59-104E1644A77C}">
  <dimension ref="A1:J15"/>
  <sheetViews>
    <sheetView tabSelected="1" workbookViewId="0">
      <selection activeCell="I4" sqref="I4:J4"/>
    </sheetView>
  </sheetViews>
  <sheetFormatPr defaultRowHeight="14.4" x14ac:dyDescent="0.3"/>
  <cols>
    <col min="1" max="1" width="25.109375" bestFit="1" customWidth="1"/>
    <col min="2" max="3" width="16" bestFit="1" customWidth="1"/>
    <col min="4" max="4" width="22" bestFit="1" customWidth="1"/>
    <col min="5" max="5" width="19.21875" bestFit="1" customWidth="1"/>
    <col min="6" max="8" width="17.33203125" bestFit="1" customWidth="1"/>
    <col min="9" max="9" width="18.44140625" bestFit="1" customWidth="1"/>
    <col min="12" max="12" width="18.6640625" bestFit="1" customWidth="1"/>
  </cols>
  <sheetData>
    <row r="1" spans="1:10" x14ac:dyDescent="0.3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10" x14ac:dyDescent="0.3">
      <c r="A2" t="s">
        <v>11</v>
      </c>
      <c r="C2" s="1">
        <v>50000</v>
      </c>
      <c r="D2" s="1">
        <v>0</v>
      </c>
      <c r="E2" s="1">
        <v>0</v>
      </c>
      <c r="F2" s="1">
        <v>175000</v>
      </c>
      <c r="G2" s="1">
        <v>25000</v>
      </c>
    </row>
    <row r="4" spans="1:10" x14ac:dyDescent="0.3">
      <c r="A4" t="s">
        <v>9</v>
      </c>
      <c r="C4" s="5">
        <v>5.2999999999999999E-2</v>
      </c>
      <c r="D4" s="5">
        <v>6.8000000000000005E-2</v>
      </c>
      <c r="E4" s="5">
        <v>4.9000000000000002E-2</v>
      </c>
      <c r="F4" s="5">
        <v>8.4000000000000005E-2</v>
      </c>
      <c r="G4" s="5">
        <v>0.11799999999999999</v>
      </c>
      <c r="I4" s="9" t="s">
        <v>7</v>
      </c>
      <c r="J4" s="9">
        <v>250000</v>
      </c>
    </row>
    <row r="6" spans="1:10" x14ac:dyDescent="0.3">
      <c r="A6" t="s">
        <v>10</v>
      </c>
      <c r="C6" s="1">
        <f>C2*(C4)</f>
        <v>2650</v>
      </c>
      <c r="D6" s="1">
        <f t="shared" ref="D6:G6" si="0">D2*(D4)</f>
        <v>0</v>
      </c>
      <c r="E6" s="1">
        <f t="shared" si="0"/>
        <v>0</v>
      </c>
      <c r="F6" s="1">
        <f t="shared" si="0"/>
        <v>14700.000000000002</v>
      </c>
      <c r="G6" s="1">
        <f t="shared" si="0"/>
        <v>2950</v>
      </c>
    </row>
    <row r="8" spans="1:10" x14ac:dyDescent="0.3">
      <c r="A8" t="s">
        <v>8</v>
      </c>
      <c r="B8" s="7">
        <f>SUM(C6:G6)</f>
        <v>20300</v>
      </c>
    </row>
    <row r="11" spans="1:10" x14ac:dyDescent="0.3">
      <c r="A11" s="8" t="s">
        <v>12</v>
      </c>
      <c r="B11" s="8"/>
      <c r="C11" s="8"/>
      <c r="D11" s="8"/>
      <c r="E11" s="8"/>
      <c r="F11" s="8"/>
      <c r="G11" s="8"/>
      <c r="H11" s="2" t="s">
        <v>13</v>
      </c>
      <c r="I11" s="2" t="s">
        <v>14</v>
      </c>
      <c r="J11" s="2" t="s">
        <v>15</v>
      </c>
    </row>
    <row r="12" spans="1:10" x14ac:dyDescent="0.3">
      <c r="A12" s="8" t="s">
        <v>17</v>
      </c>
      <c r="B12" s="8"/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f>SUMPRODUCT($C$2:$G$2, C12:G12)</f>
        <v>250000</v>
      </c>
      <c r="I12" s="2" t="s">
        <v>16</v>
      </c>
      <c r="J12" s="2">
        <v>250000</v>
      </c>
    </row>
    <row r="13" spans="1:10" x14ac:dyDescent="0.3">
      <c r="A13" s="8" t="s">
        <v>18</v>
      </c>
      <c r="B13" s="8"/>
      <c r="C13" s="2">
        <v>1</v>
      </c>
      <c r="D13" s="8"/>
      <c r="E13" s="8"/>
      <c r="F13" s="8"/>
      <c r="G13" s="8"/>
      <c r="H13" s="2">
        <f>SUMPRODUCT($C$2:$G$2, C13:G13)</f>
        <v>50000</v>
      </c>
      <c r="I13" s="2" t="s">
        <v>21</v>
      </c>
      <c r="J13" s="2">
        <f>J12/5</f>
        <v>50000</v>
      </c>
    </row>
    <row r="14" spans="1:10" x14ac:dyDescent="0.3">
      <c r="A14" s="8" t="s">
        <v>19</v>
      </c>
      <c r="B14" s="8"/>
      <c r="C14" s="8"/>
      <c r="D14" s="2">
        <v>1</v>
      </c>
      <c r="E14" s="2">
        <v>1</v>
      </c>
      <c r="F14" s="2">
        <v>1</v>
      </c>
      <c r="G14" s="8"/>
      <c r="H14" s="2">
        <f>SUMPRODUCT($C$2:$G$2, C14:G14)</f>
        <v>175000</v>
      </c>
      <c r="I14" s="2" t="s">
        <v>21</v>
      </c>
      <c r="J14" s="2">
        <f>0.4*J12</f>
        <v>100000</v>
      </c>
    </row>
    <row r="15" spans="1:10" x14ac:dyDescent="0.3">
      <c r="A15" s="8" t="s">
        <v>20</v>
      </c>
      <c r="B15" s="8"/>
      <c r="C15" s="8">
        <v>-0.5</v>
      </c>
      <c r="D15" s="8"/>
      <c r="E15" s="8"/>
      <c r="F15" s="8"/>
      <c r="G15" s="2">
        <v>1</v>
      </c>
      <c r="H15" s="2">
        <f>SUMPRODUCT($C$2:$G$2, C15:G15)</f>
        <v>0</v>
      </c>
      <c r="I15" s="2" t="s">
        <v>16</v>
      </c>
      <c r="J1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B1B2-F9C2-4F93-955B-F154CDB5B6FF}">
  <dimension ref="B2:C10"/>
  <sheetViews>
    <sheetView workbookViewId="0">
      <selection activeCell="E13" sqref="E13"/>
    </sheetView>
  </sheetViews>
  <sheetFormatPr defaultRowHeight="14.4" x14ac:dyDescent="0.3"/>
  <cols>
    <col min="2" max="2" width="22" bestFit="1" customWidth="1"/>
    <col min="3" max="3" width="15.77734375" bestFit="1" customWidth="1"/>
  </cols>
  <sheetData>
    <row r="2" spans="2:3" x14ac:dyDescent="0.3">
      <c r="B2" s="4" t="s">
        <v>5</v>
      </c>
      <c r="C2" s="4" t="s">
        <v>6</v>
      </c>
    </row>
    <row r="3" spans="2:3" x14ac:dyDescent="0.3">
      <c r="B3" s="3" t="s">
        <v>0</v>
      </c>
      <c r="C3" s="3">
        <v>50000</v>
      </c>
    </row>
    <row r="4" spans="2:3" x14ac:dyDescent="0.3">
      <c r="B4" s="3" t="s">
        <v>1</v>
      </c>
      <c r="C4" s="3">
        <v>0</v>
      </c>
    </row>
    <row r="5" spans="2:3" x14ac:dyDescent="0.3">
      <c r="B5" s="3" t="s">
        <v>2</v>
      </c>
      <c r="C5" s="3">
        <v>0</v>
      </c>
    </row>
    <row r="6" spans="2:3" x14ac:dyDescent="0.3">
      <c r="B6" s="3" t="s">
        <v>3</v>
      </c>
      <c r="C6" s="3">
        <v>175000</v>
      </c>
    </row>
    <row r="7" spans="2:3" x14ac:dyDescent="0.3">
      <c r="B7" s="3" t="s">
        <v>4</v>
      </c>
      <c r="C7" s="3">
        <v>25000</v>
      </c>
    </row>
    <row r="10" spans="2:3" x14ac:dyDescent="0.3">
      <c r="B10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8AC0-3F1D-4F85-8C93-175B2708F6CC}">
  <dimension ref="B10:C15"/>
  <sheetViews>
    <sheetView workbookViewId="0">
      <selection activeCell="B10" sqref="B10:C15"/>
    </sheetView>
  </sheetViews>
  <sheetFormatPr defaultRowHeight="14.4" x14ac:dyDescent="0.3"/>
  <cols>
    <col min="2" max="2" width="23" bestFit="1" customWidth="1"/>
    <col min="3" max="3" width="15.33203125" bestFit="1" customWidth="1"/>
  </cols>
  <sheetData>
    <row r="10" spans="2:3" x14ac:dyDescent="0.3">
      <c r="B10" s="4" t="s">
        <v>5</v>
      </c>
      <c r="C10" s="4" t="s">
        <v>6</v>
      </c>
    </row>
    <row r="11" spans="2:3" x14ac:dyDescent="0.3">
      <c r="B11" s="3" t="s">
        <v>0</v>
      </c>
      <c r="C11" s="3">
        <v>5.3</v>
      </c>
    </row>
    <row r="12" spans="2:3" x14ac:dyDescent="0.3">
      <c r="B12" s="3" t="s">
        <v>1</v>
      </c>
      <c r="C12" s="3">
        <v>6.8</v>
      </c>
    </row>
    <row r="13" spans="2:3" x14ac:dyDescent="0.3">
      <c r="B13" s="3" t="s">
        <v>2</v>
      </c>
      <c r="C13" s="3">
        <v>4.9000000000000004</v>
      </c>
    </row>
    <row r="14" spans="2:3" x14ac:dyDescent="0.3">
      <c r="B14" s="3" t="s">
        <v>3</v>
      </c>
      <c r="C14" s="3">
        <v>8.4</v>
      </c>
    </row>
    <row r="15" spans="2:3" x14ac:dyDescent="0.3">
      <c r="B15" s="3" t="s">
        <v>4</v>
      </c>
      <c r="C15" s="3">
        <v>11.8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Optimal_investment</vt:lpstr>
      <vt:lpstr>problem_statement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2025-10-03T10:23:34Z</dcterms:created>
  <dcterms:modified xsi:type="dcterms:W3CDTF">2025-10-08T18:27:35Z</dcterms:modified>
</cp:coreProperties>
</file>